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LocalRepository\TDSSG\MGMT\system\"/>
    </mc:Choice>
  </mc:AlternateContent>
  <xr:revisionPtr revIDLastSave="0" documentId="13_ncr:1_{D5819934-D417-4A68-8A95-1E63FB6EE5ED}" xr6:coauthVersionLast="47" xr6:coauthVersionMax="47" xr10:uidLastSave="{00000000-0000-0000-0000-000000000000}"/>
  <bookViews>
    <workbookView xWindow="-120" yWindow="-120" windowWidth="29040" windowHeight="15720" tabRatio="894" activeTab="1" xr2:uid="{4060ABC0-F0B2-415F-A7DD-44312EB4EA41}"/>
  </bookViews>
  <sheets>
    <sheet name="Sheet1" sheetId="1" r:id="rId1"/>
    <sheet name="Home" sheetId="10" r:id="rId2"/>
    <sheet name="mMember" sheetId="2" r:id="rId3"/>
    <sheet name="tmMeeting" sheetId="3" r:id="rId4"/>
    <sheet name="tRoster" sheetId="4" r:id="rId5"/>
    <sheet name="tmMtgDateNom" sheetId="8" r:id="rId6"/>
    <sheet name="tMtgDatePick" sheetId="9" r:id="rId7"/>
    <sheet name="tMtgDatePickEntry_d" sheetId="12" r:id="rId8"/>
    <sheet name="tMtgDatePickEntry_p" sheetId="11" state="hidden" r:id="rId9"/>
  </sheets>
  <functionGroups builtInGroupCount="19"/>
  <definedNames>
    <definedName name="DateEntry">tMtgDatePickEntry_d!$B$2</definedName>
    <definedName name="EntryNomID">tMtgDatePickEntry_d!$C$2</definedName>
    <definedName name="MTG_No_DatePick">tMtgDatePick!$B$1</definedName>
    <definedName name="NameEntry">tMtgDatePickEntry_p!$B$2</definedName>
    <definedName name="nextMtgDate">Home!$C$4</definedName>
    <definedName name="nextMtgNo">Home!$B$4</definedName>
    <definedName name="RosterMtgNo">tRoster!$B$1</definedName>
  </definedNames>
  <calcPr calcId="191029" refMode="R1C1" calcOnSave="0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" l="1"/>
  <c r="E4" i="1"/>
  <c r="G3" i="1"/>
  <c r="C2" i="12"/>
  <c r="B1" i="12"/>
  <c r="D1" i="12" s="1"/>
  <c r="E2" i="1" l="1"/>
  <c r="E3" i="1"/>
  <c r="H3" i="1" s="1"/>
  <c r="B2" i="1"/>
  <c r="C2" i="1" s="1"/>
  <c r="B5" i="1"/>
  <c r="C5" i="1" s="1"/>
  <c r="B4" i="1"/>
  <c r="C4" i="1" s="1"/>
  <c r="B3" i="1"/>
  <c r="C3" i="1" s="1"/>
  <c r="B1" i="11"/>
  <c r="D1" i="11" s="1"/>
  <c r="D1" i="9"/>
  <c r="D1" i="4"/>
  <c r="H2" i="1" l="1"/>
</calcChain>
</file>

<file path=xl/sharedStrings.xml><?xml version="1.0" encoding="utf-8"?>
<sst xmlns="http://schemas.openxmlformats.org/spreadsheetml/2006/main" count="316" uniqueCount="203">
  <si>
    <t>決定案内日</t>
    <rPh sb="0" eb="2">
      <t>ケッテイ</t>
    </rPh>
    <rPh sb="2" eb="5">
      <t>アンナイビ</t>
    </rPh>
    <phoneticPr fontId="2"/>
  </si>
  <si>
    <t>案内日所属人数</t>
    <rPh sb="0" eb="3">
      <t>アンナイビ</t>
    </rPh>
    <rPh sb="3" eb="5">
      <t>ショゾク</t>
    </rPh>
    <rPh sb="5" eb="7">
      <t>ニンズウ</t>
    </rPh>
    <phoneticPr fontId="2"/>
  </si>
  <si>
    <t>当日所属人数</t>
    <rPh sb="0" eb="2">
      <t>トウジツ</t>
    </rPh>
    <rPh sb="2" eb="6">
      <t>ショゾクニンズウ</t>
    </rPh>
    <phoneticPr fontId="2"/>
  </si>
  <si>
    <t>当日参加人数</t>
    <rPh sb="0" eb="2">
      <t>トウジツ</t>
    </rPh>
    <rPh sb="2" eb="6">
      <t>サンカニンズウ</t>
    </rPh>
    <phoneticPr fontId="2"/>
  </si>
  <si>
    <t>案内日参加予定人数</t>
    <rPh sb="0" eb="3">
      <t>アンナイビ</t>
    </rPh>
    <rPh sb="3" eb="5">
      <t>サンカ</t>
    </rPh>
    <rPh sb="5" eb="7">
      <t>ヨテイ</t>
    </rPh>
    <rPh sb="7" eb="9">
      <t>ニンズウ</t>
    </rPh>
    <phoneticPr fontId="2"/>
  </si>
  <si>
    <t>案内決定日参加表明者参加率</t>
    <rPh sb="0" eb="2">
      <t>アンナイ</t>
    </rPh>
    <rPh sb="2" eb="5">
      <t>ケッテイビ</t>
    </rPh>
    <rPh sb="5" eb="7">
      <t>サンカ</t>
    </rPh>
    <rPh sb="7" eb="10">
      <t>ヒョウメイシャ</t>
    </rPh>
    <rPh sb="10" eb="13">
      <t>サンカリツ</t>
    </rPh>
    <phoneticPr fontId="2"/>
  </si>
  <si>
    <t>所属人数参加率</t>
    <rPh sb="0" eb="4">
      <t>ショゾクニンズウ</t>
    </rPh>
    <rPh sb="4" eb="7">
      <t>サンカリツ</t>
    </rPh>
    <phoneticPr fontId="2"/>
  </si>
  <si>
    <t>当日アクティブ人数</t>
    <rPh sb="0" eb="2">
      <t>トウジツ</t>
    </rPh>
    <rPh sb="7" eb="9">
      <t>ニンズウ</t>
    </rPh>
    <phoneticPr fontId="2"/>
  </si>
  <si>
    <t>アクティブ人数参加率</t>
    <rPh sb="5" eb="7">
      <t>ニンズウ</t>
    </rPh>
    <rPh sb="7" eb="10">
      <t>サンカリツ</t>
    </rPh>
    <phoneticPr fontId="2"/>
  </si>
  <si>
    <t>ID</t>
    <phoneticPr fontId="2"/>
  </si>
  <si>
    <t>名</t>
    <rPh sb="0" eb="1">
      <t>メイ</t>
    </rPh>
    <phoneticPr fontId="2"/>
  </si>
  <si>
    <t>入会年月日</t>
    <rPh sb="0" eb="2">
      <t>ニュウカイ</t>
    </rPh>
    <rPh sb="2" eb="4">
      <t>ネンゲツ</t>
    </rPh>
    <rPh sb="4" eb="5">
      <t>ヒ</t>
    </rPh>
    <phoneticPr fontId="2"/>
  </si>
  <si>
    <t>is東洋大</t>
    <rPh sb="2" eb="4">
      <t>トウヨウ</t>
    </rPh>
    <rPh sb="4" eb="5">
      <t>ダイ</t>
    </rPh>
    <phoneticPr fontId="2"/>
  </si>
  <si>
    <t>東洋_期</t>
    <rPh sb="0" eb="2">
      <t>トウヨウ</t>
    </rPh>
    <rPh sb="3" eb="4">
      <t>キ</t>
    </rPh>
    <phoneticPr fontId="2"/>
  </si>
  <si>
    <t>mail</t>
    <phoneticPr fontId="2"/>
  </si>
  <si>
    <t>場所</t>
    <rPh sb="0" eb="2">
      <t>バショ</t>
    </rPh>
    <phoneticPr fontId="2"/>
  </si>
  <si>
    <t>日付</t>
    <rPh sb="0" eb="2">
      <t>ヒヅケ</t>
    </rPh>
    <phoneticPr fontId="2"/>
  </si>
  <si>
    <t>費用</t>
    <rPh sb="0" eb="2">
      <t>ヒヨウ</t>
    </rPh>
    <phoneticPr fontId="2"/>
  </si>
  <si>
    <t>会議室名</t>
    <rPh sb="0" eb="4">
      <t>カイギシツメイ</t>
    </rPh>
    <phoneticPr fontId="2"/>
  </si>
  <si>
    <t>参加者ID</t>
    <rPh sb="0" eb="3">
      <t>サンカシャ</t>
    </rPh>
    <phoneticPr fontId="2"/>
  </si>
  <si>
    <t>当日出欠</t>
    <rPh sb="0" eb="2">
      <t>トウジツ</t>
    </rPh>
    <rPh sb="2" eb="4">
      <t>シュッケツ</t>
    </rPh>
    <phoneticPr fontId="2"/>
  </si>
  <si>
    <t>備考</t>
    <rPh sb="0" eb="2">
      <t>ビコウ</t>
    </rPh>
    <phoneticPr fontId="2"/>
  </si>
  <si>
    <t>開始時間</t>
    <rPh sb="0" eb="4">
      <t>カイシジカン</t>
    </rPh>
    <phoneticPr fontId="2"/>
  </si>
  <si>
    <t>コマ数</t>
    <rPh sb="2" eb="3">
      <t>スウ</t>
    </rPh>
    <phoneticPr fontId="2"/>
  </si>
  <si>
    <t>日程決定案内日</t>
    <rPh sb="0" eb="4">
      <t>ニッテイケッテイ</t>
    </rPh>
    <rPh sb="4" eb="7">
      <t>アンナイビ</t>
    </rPh>
    <phoneticPr fontId="2"/>
  </si>
  <si>
    <t>姓</t>
    <rPh sb="0" eb="1">
      <t>セイ</t>
    </rPh>
    <phoneticPr fontId="2"/>
  </si>
  <si>
    <t>姓_カナ</t>
    <rPh sb="0" eb="1">
      <t>セイ</t>
    </rPh>
    <phoneticPr fontId="2"/>
  </si>
  <si>
    <t>名_カナ</t>
    <rPh sb="0" eb="1">
      <t>メイ</t>
    </rPh>
    <phoneticPr fontId="2"/>
  </si>
  <si>
    <t>MTG_No</t>
    <phoneticPr fontId="2"/>
  </si>
  <si>
    <t>時間</t>
    <rPh sb="0" eb="2">
      <t>ジカン</t>
    </rPh>
    <phoneticPr fontId="2"/>
  </si>
  <si>
    <t>会議室</t>
    <rPh sb="0" eb="3">
      <t>カイギシツ</t>
    </rPh>
    <phoneticPr fontId="2"/>
  </si>
  <si>
    <t>曜日</t>
    <rPh sb="0" eb="2">
      <t>ヨウビ</t>
    </rPh>
    <phoneticPr fontId="2"/>
  </si>
  <si>
    <t>NomID</t>
    <phoneticPr fontId="2"/>
  </si>
  <si>
    <t>氏名</t>
    <rPh sb="0" eb="2">
      <t>シメイ</t>
    </rPh>
    <phoneticPr fontId="2"/>
  </si>
  <si>
    <t>MemberID</t>
    <phoneticPr fontId="2"/>
  </si>
  <si>
    <t>参加可否</t>
    <rPh sb="0" eb="4">
      <t>サンカカヒ</t>
    </rPh>
    <phoneticPr fontId="2"/>
  </si>
  <si>
    <t>氏名</t>
    <rPh sb="0" eb="2">
      <t>シメイ</t>
    </rPh>
    <phoneticPr fontId="2"/>
  </si>
  <si>
    <t>氏名</t>
    <rPh sb="0" eb="1">
      <t>シ</t>
    </rPh>
    <rPh sb="1" eb="2">
      <t>メイ</t>
    </rPh>
    <phoneticPr fontId="2"/>
  </si>
  <si>
    <t>岩尾 朝央</t>
  </si>
  <si>
    <t>佐久間 雄介</t>
  </si>
  <si>
    <t>大塚 貴行</t>
  </si>
  <si>
    <t>山際 淳</t>
  </si>
  <si>
    <t>久保 貴史</t>
  </si>
  <si>
    <t>伊藤 琢司</t>
  </si>
  <si>
    <t>中林 徹</t>
  </si>
  <si>
    <t>鶴崎 博</t>
  </si>
  <si>
    <t>森 潔</t>
  </si>
  <si>
    <t>池澤 政俊</t>
  </si>
  <si>
    <t>上田 英貴</t>
  </si>
  <si>
    <t>澤田 大成</t>
  </si>
  <si>
    <t>田窪 正則</t>
  </si>
  <si>
    <t>平山 達也</t>
  </si>
  <si>
    <t>玉井 宏明</t>
  </si>
  <si>
    <t>尾崎 伸弥</t>
  </si>
  <si>
    <t>年月</t>
    <rPh sb="0" eb="2">
      <t>ネンツキ</t>
    </rPh>
    <phoneticPr fontId="2"/>
  </si>
  <si>
    <t>調整時
参加可否</t>
    <rPh sb="0" eb="2">
      <t>チョウセイ</t>
    </rPh>
    <rPh sb="2" eb="3">
      <t>ジ</t>
    </rPh>
    <rPh sb="4" eb="6">
      <t>サンカ</t>
    </rPh>
    <rPh sb="6" eb="8">
      <t>カヒ</t>
    </rPh>
    <phoneticPr fontId="2"/>
  </si>
  <si>
    <t>出欠予定</t>
    <rPh sb="0" eb="2">
      <t>シュッケツ</t>
    </rPh>
    <rPh sb="2" eb="4">
      <t>ヨテイ</t>
    </rPh>
    <phoneticPr fontId="2"/>
  </si>
  <si>
    <t>MTG_No</t>
    <phoneticPr fontId="5"/>
  </si>
  <si>
    <t>次回MTG</t>
    <rPh sb="0" eb="2">
      <t>ジカイ</t>
    </rPh>
    <phoneticPr fontId="5"/>
  </si>
  <si>
    <t>日付</t>
    <rPh sb="0" eb="2">
      <t>ヒヅケ</t>
    </rPh>
    <phoneticPr fontId="5"/>
  </si>
  <si>
    <t>岩尾</t>
  </si>
  <si>
    <t>朝央</t>
  </si>
  <si>
    <t>トモタカ</t>
  </si>
  <si>
    <t>赤羽</t>
  </si>
  <si>
    <t>聡</t>
  </si>
  <si>
    <t>アカハネ</t>
  </si>
  <si>
    <t>サトシ</t>
  </si>
  <si>
    <t>赤羽 聡</t>
  </si>
  <si>
    <t>池澤</t>
  </si>
  <si>
    <t>政俊</t>
  </si>
  <si>
    <t>イケザワ</t>
  </si>
  <si>
    <t>マサトシ</t>
  </si>
  <si>
    <t>伊藤</t>
  </si>
  <si>
    <t>琢司</t>
  </si>
  <si>
    <t>イトウ</t>
  </si>
  <si>
    <t>タクジ</t>
  </si>
  <si>
    <t>大嶋</t>
  </si>
  <si>
    <t>亨一</t>
  </si>
  <si>
    <t>オオシマ</t>
  </si>
  <si>
    <t>キョウイチ</t>
  </si>
  <si>
    <t>大嶋 亨一</t>
  </si>
  <si>
    <t>草地</t>
  </si>
  <si>
    <t>祐樹</t>
  </si>
  <si>
    <t>クサチ</t>
  </si>
  <si>
    <t>ユウキ</t>
  </si>
  <si>
    <t>草地 祐樹</t>
  </si>
  <si>
    <t>久保</t>
  </si>
  <si>
    <t>貴史</t>
  </si>
  <si>
    <t>クボ</t>
  </si>
  <si>
    <t>タカシ</t>
  </si>
  <si>
    <t>佐久間</t>
  </si>
  <si>
    <t>雄介</t>
  </si>
  <si>
    <t>サクマ</t>
  </si>
  <si>
    <t>ユウスケ</t>
  </si>
  <si>
    <t>中林</t>
  </si>
  <si>
    <t>徹</t>
  </si>
  <si>
    <t>ナカバヤシ</t>
  </si>
  <si>
    <t>トオル</t>
  </si>
  <si>
    <t>上田</t>
  </si>
  <si>
    <t>英貴</t>
  </si>
  <si>
    <t>ウエダ</t>
  </si>
  <si>
    <t>ヒデタカ</t>
  </si>
  <si>
    <t>澤田</t>
  </si>
  <si>
    <t>大成</t>
  </si>
  <si>
    <t>サワダ</t>
  </si>
  <si>
    <t>ヒロアキ</t>
  </si>
  <si>
    <t>高橋</t>
  </si>
  <si>
    <t>良介</t>
  </si>
  <si>
    <t>タカハシ</t>
  </si>
  <si>
    <t>リョウスケ</t>
  </si>
  <si>
    <t>高橋 良介</t>
  </si>
  <si>
    <t>米田</t>
  </si>
  <si>
    <t>和央</t>
  </si>
  <si>
    <t>ヨネダ</t>
  </si>
  <si>
    <t>カズヒロ</t>
  </si>
  <si>
    <t>米田 和央</t>
  </si>
  <si>
    <t>平山</t>
  </si>
  <si>
    <t>達也</t>
  </si>
  <si>
    <t>ヒラヤマ</t>
  </si>
  <si>
    <t>タツヤ</t>
  </si>
  <si>
    <t>大塚</t>
  </si>
  <si>
    <t>貴行</t>
  </si>
  <si>
    <t>オオツカ</t>
  </si>
  <si>
    <t>タカユキ</t>
  </si>
  <si>
    <t>里中</t>
  </si>
  <si>
    <t>智哉</t>
  </si>
  <si>
    <t>サトナカ</t>
  </si>
  <si>
    <t>トモヤ</t>
  </si>
  <si>
    <t>里中 智哉</t>
  </si>
  <si>
    <t>庄司</t>
  </si>
  <si>
    <t>淳</t>
  </si>
  <si>
    <t>ショウジ</t>
  </si>
  <si>
    <t>アツシ</t>
  </si>
  <si>
    <t>庄司 淳</t>
  </si>
  <si>
    <t>中澤</t>
  </si>
  <si>
    <t>祐介</t>
  </si>
  <si>
    <t>ナカザワ</t>
  </si>
  <si>
    <t>中澤 祐介</t>
  </si>
  <si>
    <t>山際</t>
  </si>
  <si>
    <t>ヤマギワ</t>
  </si>
  <si>
    <t>古田</t>
  </si>
  <si>
    <t>紗良</t>
  </si>
  <si>
    <t>フルタ</t>
  </si>
  <si>
    <t>サラ</t>
  </si>
  <si>
    <t>古田 紗良</t>
  </si>
  <si>
    <t>篠ヶ瀬</t>
  </si>
  <si>
    <t>将之</t>
  </si>
  <si>
    <t>シノガセ</t>
  </si>
  <si>
    <t>マサユキ</t>
  </si>
  <si>
    <t>篠ヶ瀬 将之</t>
  </si>
  <si>
    <t>玉井</t>
  </si>
  <si>
    <t>宏明</t>
  </si>
  <si>
    <t>タマイ</t>
  </si>
  <si>
    <t>佐竹</t>
  </si>
  <si>
    <t>良太</t>
  </si>
  <si>
    <t>サタケ</t>
  </si>
  <si>
    <t>リョウタ</t>
  </si>
  <si>
    <t>佐竹 良太</t>
  </si>
  <si>
    <t>中安</t>
  </si>
  <si>
    <t>言</t>
  </si>
  <si>
    <t>ナカヤス</t>
  </si>
  <si>
    <t>コトバ</t>
  </si>
  <si>
    <t>中安 言</t>
  </si>
  <si>
    <t>尾崎</t>
  </si>
  <si>
    <t>伸弥</t>
  </si>
  <si>
    <t>オザキ</t>
  </si>
  <si>
    <t>シンヤ</t>
  </si>
  <si>
    <t>法政大養成課程</t>
  </si>
  <si>
    <t>鶴崎</t>
  </si>
  <si>
    <t>博</t>
  </si>
  <si>
    <t>ツルサキ</t>
  </si>
  <si>
    <t>ヒロシ</t>
  </si>
  <si>
    <t>田窪</t>
  </si>
  <si>
    <t>正則</t>
  </si>
  <si>
    <t>タクボ</t>
  </si>
  <si>
    <t>マサノリ</t>
  </si>
  <si>
    <t>森</t>
  </si>
  <si>
    <t>潔</t>
  </si>
  <si>
    <t>モリ</t>
  </si>
  <si>
    <t>キヨシ</t>
  </si>
  <si>
    <t>足立</t>
  </si>
  <si>
    <t>陽介</t>
  </si>
  <si>
    <t>アダチ</t>
  </si>
  <si>
    <t>ヨウスケ</t>
  </si>
  <si>
    <t>足立 陽介</t>
  </si>
  <si>
    <t>武蔵野プレイス</t>
  </si>
  <si>
    <t>スペースE</t>
  </si>
  <si>
    <t>スペースB</t>
  </si>
  <si>
    <t>東洋大白山キャンパス</t>
  </si>
  <si>
    <t>スペースC</t>
  </si>
  <si>
    <t>東洋大熱海保養所</t>
  </si>
  <si>
    <t>スペースD・A</t>
  </si>
  <si>
    <t>日</t>
  </si>
  <si>
    <t>土</t>
  </si>
  <si>
    <t>イワオ</t>
  </si>
  <si>
    <t>行ラベル</t>
  </si>
  <si>
    <t>総計</t>
  </si>
  <si>
    <t>合計 / 参加可否</t>
  </si>
  <si>
    <t>列ラベル</t>
  </si>
  <si>
    <t>退会年月日</t>
    <rPh sb="0" eb="5">
      <t>タイカイネンガッピ</t>
    </rPh>
    <phoneticPr fontId="2"/>
  </si>
  <si>
    <t>スペースA</t>
  </si>
  <si>
    <t>開催日</t>
    <rPh sb="0" eb="3">
      <t>カイサイビ</t>
    </rPh>
    <phoneticPr fontId="2"/>
  </si>
  <si>
    <t>2023/8/20(日)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</si>
</sst>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%"/>
    <numFmt numFmtId="177" formatCode="yyyy\-mm\-dd;@"/>
    <numFmt numFmtId="178" formatCode="yyyy\-mm"/>
    <numFmt numFmtId="179" formatCode="m/d"/>
    <numFmt numFmtId="180" formatCode="m/d\(aaa\)"/>
    <numFmt numFmtId="181" formatCode="m&quot;月&quot;d&quot;日&quot;;@"/>
  </numFmts>
  <fonts count="8" x14ac:knownFonts="1">
    <font>
      <sz val="11"/>
      <color theme="1"/>
      <name val="Meiryo UI"/>
      <family val="2"/>
      <charset val="128"/>
      <scheme val="minor"/>
    </font>
    <font>
      <sz val="11"/>
      <color theme="1"/>
      <name val="Meiryo UI"/>
      <family val="2"/>
      <charset val="128"/>
      <scheme val="minor"/>
    </font>
    <font>
      <sz val="6"/>
      <name val="Meiryo UI"/>
      <family val="2"/>
      <charset val="128"/>
      <scheme val="minor"/>
    </font>
    <font>
      <sz val="11"/>
      <color theme="0"/>
      <name val="Meiryo UI"/>
      <family val="2"/>
      <charset val="128"/>
      <scheme val="minor"/>
    </font>
    <font>
      <sz val="11"/>
      <color theme="1"/>
      <name val="Meiryo UI"/>
      <family val="3"/>
      <charset val="128"/>
    </font>
    <font>
      <sz val="6"/>
      <name val="Meiryo UI"/>
      <family val="3"/>
      <charset val="128"/>
      <scheme val="minor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56" fontId="0" fillId="0" borderId="0" xfId="0" applyNumberFormat="1">
      <alignment vertical="center"/>
    </xf>
    <xf numFmtId="176" fontId="0" fillId="0" borderId="0" xfId="2" applyNumberFormat="1" applyFont="1">
      <alignment vertical="center"/>
    </xf>
    <xf numFmtId="178" fontId="0" fillId="0" borderId="0" xfId="0" applyNumberFormat="1">
      <alignment vertical="center"/>
    </xf>
    <xf numFmtId="0" fontId="3" fillId="0" borderId="0" xfId="0" applyFont="1">
      <alignment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/>
    <xf numFmtId="0" fontId="6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38" fontId="7" fillId="0" borderId="0" xfId="1" applyFont="1" applyFill="1">
      <alignment vertical="center"/>
    </xf>
    <xf numFmtId="178" fontId="0" fillId="0" borderId="0" xfId="0" applyNumberFormat="1" applyAlignment="1">
      <alignment horizontal="center" vertical="center"/>
    </xf>
    <xf numFmtId="0" fontId="7" fillId="0" borderId="0" xfId="0" applyFont="1">
      <alignment vertical="center"/>
    </xf>
    <xf numFmtId="0" fontId="0" fillId="0" borderId="0" xfId="0" pivotButton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80" fontId="7" fillId="0" borderId="0" xfId="0" applyNumberFormat="1" applyFont="1">
      <alignment vertical="center"/>
    </xf>
    <xf numFmtId="181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9" fontId="7" fillId="0" borderId="0" xfId="0" applyNumberFormat="1" applyFont="1">
      <alignment vertical="center"/>
    </xf>
    <xf numFmtId="177" fontId="7" fillId="0" borderId="0" xfId="0" applyNumberFormat="1" applyFont="1">
      <alignment vertical="center"/>
    </xf>
    <xf numFmtId="20" fontId="7" fillId="0" borderId="0" xfId="0" applyNumberFormat="1" applyFont="1">
      <alignment vertical="center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NumberFormat="1" applyFont="1" applyFill="1">
      <alignment vertical="center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wrapText="1"/>
    </xf>
  </cellXfs>
  <cellStyles count="3">
    <cellStyle name="パーセント" xfId="2" builtinId="5"/>
    <cellStyle name="桁区切り" xfId="1" builtinId="6"/>
    <cellStyle name="標準" xfId="0" builtinId="0"/>
  </cellStyles>
  <dxfs count="49"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80" formatCode="m/d\(aaa\)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rgb="FF000000"/>
          <bgColor rgb="FFFFFFFF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9" formatCode="m/d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25" formatCode="h:mm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Meiryo UI"/>
        <family val="3"/>
        <charset val="128"/>
        <scheme val="minor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177" formatCode="yyyy\-mm\-dd;@"/>
      <fill>
        <patternFill patternType="none">
          <fgColor indexed="64"/>
          <bgColor indexed="65"/>
        </patternFill>
      </fill>
    </dxf>
    <dxf>
      <font>
        <color auto="1"/>
        <family val="3"/>
      </font>
      <numFmt numFmtId="0" formatCode="General"/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  <dxf>
      <font>
        <color auto="1"/>
        <family val="3"/>
      </font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7837</xdr:rowOff>
    </xdr:from>
    <xdr:to>
      <xdr:col>7</xdr:col>
      <xdr:colOff>758400</xdr:colOff>
      <xdr:row>7</xdr:row>
      <xdr:rowOff>21712</xdr:rowOff>
    </xdr:to>
    <xdr:sp macro="[0]!MoveMemberMTBL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A4B5F4A-06E8-4550-9A2E-FEF2190358D2}"/>
            </a:ext>
          </a:extLst>
        </xdr:cNvPr>
        <xdr:cNvSpPr/>
      </xdr:nvSpPr>
      <xdr:spPr>
        <a:xfrm>
          <a:off x="3810000" y="1150837"/>
          <a:ext cx="2282400" cy="204375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Member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</a:t>
          </a:r>
        </a:p>
      </xdr:txBody>
    </xdr:sp>
    <xdr:clientData/>
  </xdr:twoCellAnchor>
  <xdr:twoCellAnchor>
    <xdr:from>
      <xdr:col>5</xdr:col>
      <xdr:colOff>4762</xdr:colOff>
      <xdr:row>8</xdr:row>
      <xdr:rowOff>0</xdr:rowOff>
    </xdr:from>
    <xdr:to>
      <xdr:col>8</xdr:col>
      <xdr:colOff>0</xdr:colOff>
      <xdr:row>9</xdr:row>
      <xdr:rowOff>13875</xdr:rowOff>
    </xdr:to>
    <xdr:sp macro="[0]!MoveMeetingTMTBL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5DA449-2BD8-4F18-9A21-D7CBA15E65B7}"/>
            </a:ext>
          </a:extLst>
        </xdr:cNvPr>
        <xdr:cNvSpPr/>
      </xdr:nvSpPr>
      <xdr:spPr>
        <a:xfrm>
          <a:off x="4119562" y="1905000"/>
          <a:ext cx="2052638" cy="252000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Meeting TM</a:t>
          </a:r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3</xdr:col>
      <xdr:colOff>756600</xdr:colOff>
      <xdr:row>7</xdr:row>
      <xdr:rowOff>13875</xdr:rowOff>
    </xdr:to>
    <xdr:sp macro="[0]!MoveMtgDatePickTTBL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D5ABB6BB-5DAD-72DC-7076-B143774B7C5E}"/>
            </a:ext>
          </a:extLst>
        </xdr:cNvPr>
        <xdr:cNvSpPr/>
      </xdr:nvSpPr>
      <xdr:spPr>
        <a:xfrm>
          <a:off x="762000" y="1143000"/>
          <a:ext cx="2280600" cy="204375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ja-JP" altLang="en-US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Date Pick</a:t>
          </a:r>
        </a:p>
      </xdr:txBody>
    </xdr:sp>
    <xdr:clientData/>
  </xdr:twoCellAnchor>
  <xdr:twoCellAnchor>
    <xdr:from>
      <xdr:col>1</xdr:col>
      <xdr:colOff>7200</xdr:colOff>
      <xdr:row>8</xdr:row>
      <xdr:rowOff>0</xdr:rowOff>
    </xdr:from>
    <xdr:to>
      <xdr:col>4</xdr:col>
      <xdr:colOff>0</xdr:colOff>
      <xdr:row>9</xdr:row>
      <xdr:rowOff>13875</xdr:rowOff>
    </xdr:to>
    <xdr:sp macro="[0]!MoveRosterTTBL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3DC8337-9EE0-FF58-105C-619E5B7EA146}"/>
            </a:ext>
          </a:extLst>
        </xdr:cNvPr>
        <xdr:cNvSpPr/>
      </xdr:nvSpPr>
      <xdr:spPr>
        <a:xfrm>
          <a:off x="693000" y="1790700"/>
          <a:ext cx="2052000" cy="237713"/>
        </a:xfrm>
        <a:prstGeom prst="roundRect">
          <a:avLst/>
        </a:prstGeom>
        <a:solidFill>
          <a:schemeClr val="accent1"/>
        </a:solidFill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Mtg Roster</a:t>
          </a:r>
        </a:p>
      </xdr:txBody>
    </xdr:sp>
    <xdr:clientData/>
  </xdr:twoCellAnchor>
  <xdr:twoCellAnchor>
    <xdr:from>
      <xdr:col>5</xdr:col>
      <xdr:colOff>4762</xdr:colOff>
      <xdr:row>10</xdr:row>
      <xdr:rowOff>0</xdr:rowOff>
    </xdr:from>
    <xdr:to>
      <xdr:col>8</xdr:col>
      <xdr:colOff>0</xdr:colOff>
      <xdr:row>11</xdr:row>
      <xdr:rowOff>13875</xdr:rowOff>
    </xdr:to>
    <xdr:sp macro="[0]!MoveMtgDateNomTMTBL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CAF4E9F-B73B-CBF1-6D4A-A1964868A980}"/>
            </a:ext>
          </a:extLst>
        </xdr:cNvPr>
        <xdr:cNvSpPr/>
      </xdr:nvSpPr>
      <xdr:spPr>
        <a:xfrm>
          <a:off x="4119562" y="2238375"/>
          <a:ext cx="2052638" cy="237713"/>
        </a:xfrm>
        <a:prstGeom prst="roundRect">
          <a:avLst/>
        </a:prstGeom>
        <a:ln/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Mtg</a:t>
          </a:r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Date Nominates TM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8678</xdr:rowOff>
    </xdr:from>
    <xdr:to>
      <xdr:col>9</xdr:col>
      <xdr:colOff>38099</xdr:colOff>
      <xdr:row>2</xdr:row>
      <xdr:rowOff>34178</xdr:rowOff>
    </xdr:to>
    <xdr:sp macro="[0]!wksRoster.DisplayNextMtg" textlink="">
      <xdr:nvSpPr>
        <xdr:cNvPr id="10" name="四角形: 角を丸くする 9">
          <a:extLst>
            <a:ext uri="{FF2B5EF4-FFF2-40B4-BE49-F238E27FC236}">
              <a16:creationId xmlns:a16="http://schemas.microsoft.com/office/drawing/2014/main" id="{2C2F460D-8B5D-4DCD-8263-18559F0261A2}"/>
            </a:ext>
          </a:extLst>
        </xdr:cNvPr>
        <xdr:cNvSpPr/>
      </xdr:nvSpPr>
      <xdr:spPr>
        <a:xfrm>
          <a:off x="6019800" y="199178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Next Meeting</a:t>
          </a:r>
        </a:p>
      </xdr:txBody>
    </xdr:sp>
    <xdr:clientData/>
  </xdr:twoCellAnchor>
  <xdr:twoCellAnchor editAs="oneCell">
    <xdr:from>
      <xdr:col>9</xdr:col>
      <xdr:colOff>252416</xdr:colOff>
      <xdr:row>0</xdr:row>
      <xdr:rowOff>147158</xdr:rowOff>
    </xdr:from>
    <xdr:to>
      <xdr:col>9</xdr:col>
      <xdr:colOff>572456</xdr:colOff>
      <xdr:row>2</xdr:row>
      <xdr:rowOff>86198</xdr:rowOff>
    </xdr:to>
    <xdr:pic macro="[0]!wksRoster.DisplayLater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A5C6CFCD-AE41-9E98-284A-69A9CA9F3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805741" y="147158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6</xdr:col>
      <xdr:colOff>175263</xdr:colOff>
      <xdr:row>0</xdr:row>
      <xdr:rowOff>147159</xdr:rowOff>
    </xdr:from>
    <xdr:to>
      <xdr:col>6</xdr:col>
      <xdr:colOff>495303</xdr:colOff>
      <xdr:row>2</xdr:row>
      <xdr:rowOff>86199</xdr:rowOff>
    </xdr:to>
    <xdr:pic macro="[0]!wksRoster.DisplayPreviousMtg">
      <xdr:nvPicPr>
        <xdr:cNvPr id="11" name="グラフィックス 10" descr="再生 単色塗りつぶし">
          <a:extLst>
            <a:ext uri="{FF2B5EF4-FFF2-40B4-BE49-F238E27FC236}">
              <a16:creationId xmlns:a16="http://schemas.microsoft.com/office/drawing/2014/main" id="{B76E88D0-BE63-D9F2-7EE3-6591F7BF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5442588" y="147159"/>
          <a:ext cx="320040" cy="32004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</xdr:row>
      <xdr:rowOff>165000</xdr:rowOff>
    </xdr:from>
    <xdr:to>
      <xdr:col>9</xdr:col>
      <xdr:colOff>38099</xdr:colOff>
      <xdr:row>3</xdr:row>
      <xdr:rowOff>0</xdr:rowOff>
    </xdr:to>
    <xdr:sp macro="[0]!wksRoster.UpdateMtgRoster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6F4DC1C-CB6F-4022-B554-6C331F093A9D}"/>
            </a:ext>
          </a:extLst>
        </xdr:cNvPr>
        <xdr:cNvSpPr/>
      </xdr:nvSpPr>
      <xdr:spPr>
        <a:xfrm>
          <a:off x="6019800" y="5460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4762</xdr:rowOff>
    </xdr:from>
    <xdr:to>
      <xdr:col>8</xdr:col>
      <xdr:colOff>38099</xdr:colOff>
      <xdr:row>1</xdr:row>
      <xdr:rowOff>220762</xdr:rowOff>
    </xdr:to>
    <xdr:sp macro="[0]!wksMtgDatePick.GetLastDataFromDB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1723C0B-AE6A-40D6-9BBF-CC5C86565605}"/>
            </a:ext>
          </a:extLst>
        </xdr:cNvPr>
        <xdr:cNvSpPr/>
      </xdr:nvSpPr>
      <xdr:spPr>
        <a:xfrm>
          <a:off x="5548313" y="195262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Get Last Data</a:t>
          </a:r>
        </a:p>
      </xdr:txBody>
    </xdr:sp>
    <xdr:clientData/>
  </xdr:twoCellAnchor>
  <xdr:twoCellAnchor>
    <xdr:from>
      <xdr:col>6</xdr:col>
      <xdr:colOff>0</xdr:colOff>
      <xdr:row>3</xdr:row>
      <xdr:rowOff>4762</xdr:rowOff>
    </xdr:from>
    <xdr:to>
      <xdr:col>8</xdr:col>
      <xdr:colOff>38099</xdr:colOff>
      <xdr:row>4</xdr:row>
      <xdr:rowOff>30262</xdr:rowOff>
    </xdr:to>
    <xdr:sp macro="[0]!wksMtgDatePick.EntryDatePick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EF20A6-0F52-B874-3456-7697C3ADCA34}"/>
            </a:ext>
          </a:extLst>
        </xdr:cNvPr>
        <xdr:cNvSpPr/>
      </xdr:nvSpPr>
      <xdr:spPr>
        <a:xfrm>
          <a:off x="5548313" y="609600"/>
          <a:ext cx="1562099" cy="21600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Entry Data</a:t>
          </a:r>
        </a:p>
      </xdr:txBody>
    </xdr:sp>
    <xdr:clientData/>
  </xdr:twoCellAnchor>
  <xdr:twoCellAnchor editAs="oneCell">
    <xdr:from>
      <xdr:col>5</xdr:col>
      <xdr:colOff>238125</xdr:colOff>
      <xdr:row>0</xdr:row>
      <xdr:rowOff>161926</xdr:rowOff>
    </xdr:from>
    <xdr:to>
      <xdr:col>5</xdr:col>
      <xdr:colOff>558165</xdr:colOff>
      <xdr:row>2</xdr:row>
      <xdr:rowOff>67628</xdr:rowOff>
    </xdr:to>
    <xdr:pic macro="[0]!wksMtgDatePick.DisplayPreviousMtg">
      <xdr:nvPicPr>
        <xdr:cNvPr id="9" name="グラフィックス 8" descr="再生 単色塗りつぶし">
          <a:extLst>
            <a:ext uri="{FF2B5EF4-FFF2-40B4-BE49-F238E27FC236}">
              <a16:creationId xmlns:a16="http://schemas.microsoft.com/office/drawing/2014/main" id="{17629EA9-B966-4DC0-9095-692D78EC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rot="10800000">
          <a:off x="4648200" y="161926"/>
          <a:ext cx="320040" cy="320040"/>
        </a:xfrm>
        <a:prstGeom prst="rect">
          <a:avLst/>
        </a:prstGeom>
      </xdr:spPr>
    </xdr:pic>
    <xdr:clientData/>
  </xdr:twoCellAnchor>
  <xdr:twoCellAnchor editAs="oneCell">
    <xdr:from>
      <xdr:col>8</xdr:col>
      <xdr:colOff>314325</xdr:colOff>
      <xdr:row>0</xdr:row>
      <xdr:rowOff>152400</xdr:rowOff>
    </xdr:from>
    <xdr:to>
      <xdr:col>8</xdr:col>
      <xdr:colOff>634365</xdr:colOff>
      <xdr:row>2</xdr:row>
      <xdr:rowOff>58102</xdr:rowOff>
    </xdr:to>
    <xdr:pic macro="[0]!wksMtgDatePick.DisplayLaterMtg">
      <xdr:nvPicPr>
        <xdr:cNvPr id="10" name="グラフィックス 9" descr="再生 単色塗りつぶし">
          <a:extLst>
            <a:ext uri="{FF2B5EF4-FFF2-40B4-BE49-F238E27FC236}">
              <a16:creationId xmlns:a16="http://schemas.microsoft.com/office/drawing/2014/main" id="{31EE030B-845E-41F4-A514-F7AB3F5C4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086600" y="152400"/>
          <a:ext cx="320040" cy="32004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4762</xdr:rowOff>
    </xdr:from>
    <xdr:to>
      <xdr:col>4</xdr:col>
      <xdr:colOff>486075</xdr:colOff>
      <xdr:row>5</xdr:row>
      <xdr:rowOff>0</xdr:rowOff>
    </xdr:to>
    <xdr:sp macro="[0]!wksDatePickEntry.UpsertMtgDatePickTTblAtDB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B684E30-6871-44FD-9318-09ACBB5B42A2}"/>
            </a:ext>
          </a:extLst>
        </xdr:cNvPr>
        <xdr:cNvSpPr/>
      </xdr:nvSpPr>
      <xdr:spPr>
        <a:xfrm>
          <a:off x="2533650" y="842962"/>
          <a:ext cx="1562400" cy="195263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4762</xdr:rowOff>
    </xdr:from>
    <xdr:to>
      <xdr:col>6</xdr:col>
      <xdr:colOff>38099</xdr:colOff>
      <xdr:row>5</xdr:row>
      <xdr:rowOff>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CBC43C-7715-4D78-B1EB-8B02FD07889D}"/>
            </a:ext>
          </a:extLst>
        </xdr:cNvPr>
        <xdr:cNvSpPr/>
      </xdr:nvSpPr>
      <xdr:spPr>
        <a:xfrm>
          <a:off x="4924425" y="676275"/>
          <a:ext cx="1409699" cy="219075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 baseline="0">
              <a:latin typeface="Meiryo UI" panose="020B0604030504040204" pitchFamily="50" charset="-128"/>
              <a:ea typeface="Meiryo UI" panose="020B0604030504040204" pitchFamily="50" charset="-128"/>
            </a:rPr>
            <a:t>Update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o" refreshedDate="45129.730383217589" createdVersion="8" refreshedVersion="8" minRefreshableVersion="3" recordCount="24" xr:uid="{A3CAA4DB-0056-4E24-940B-979B4E9E4913}">
  <cacheSource type="worksheet">
    <worksheetSource name="tMtgDatePick"/>
  </cacheSource>
  <cacheFields count="5">
    <cacheField name="NomID" numFmtId="0">
      <sharedItems containsSemiMixedTypes="0" containsString="0" containsNumber="1" containsInteger="1" minValue="15" maxValue="20"/>
    </cacheField>
    <cacheField name="日付" numFmtId="179">
      <sharedItems containsSemiMixedTypes="0" containsNonDate="0" containsDate="1" containsString="0" minDate="2023-09-10T00:00:00" maxDate="2023-10-23T00:00:00" count="9">
        <d v="2023-10-07T00:00:00"/>
        <d v="2023-10-08T00:00:00"/>
        <d v="2023-10-14T00:00:00"/>
        <d v="2023-10-15T00:00:00"/>
        <d v="2023-10-21T00:00:00"/>
        <d v="2023-10-22T00:00:00"/>
        <d v="2023-09-10T00:00:00" u="1"/>
        <d v="2023-09-23T00:00:00" u="1"/>
        <d v="2023-09-24T00:00:00" u="1"/>
      </sharedItems>
    </cacheField>
    <cacheField name="MemberID" numFmtId="0">
      <sharedItems containsSemiMixedTypes="0" containsString="0" containsNumber="1" containsInteger="1" minValue="202201" maxValue="202211"/>
    </cacheField>
    <cacheField name="氏名" numFmtId="0">
      <sharedItems count="8">
        <s v="岩尾 朝央"/>
        <s v="伊藤 琢司"/>
        <s v="上田 英貴"/>
        <s v="澤田 大成"/>
        <s v="田窪 正則" u="1"/>
        <s v="玉井 宏明" u="1"/>
        <s v="中安 言" u="1"/>
        <s v="大塚 貴行" u="1"/>
      </sharedItems>
    </cacheField>
    <cacheField name="参加可否" numFmtId="0">
      <sharedItems containsSemiMixedTypes="0" containsString="0" containsNumb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n v="15"/>
    <x v="0"/>
    <n v="202201"/>
    <x v="0"/>
    <n v="1"/>
  </r>
  <r>
    <n v="15"/>
    <x v="0"/>
    <n v="202204"/>
    <x v="1"/>
    <n v="0.5"/>
  </r>
  <r>
    <n v="15"/>
    <x v="0"/>
    <n v="202210"/>
    <x v="2"/>
    <n v="1"/>
  </r>
  <r>
    <n v="15"/>
    <x v="0"/>
    <n v="202211"/>
    <x v="3"/>
    <n v="0.5"/>
  </r>
  <r>
    <n v="16"/>
    <x v="1"/>
    <n v="202201"/>
    <x v="0"/>
    <n v="1"/>
  </r>
  <r>
    <n v="16"/>
    <x v="1"/>
    <n v="202204"/>
    <x v="1"/>
    <n v="0"/>
  </r>
  <r>
    <n v="16"/>
    <x v="1"/>
    <n v="202210"/>
    <x v="2"/>
    <n v="0.5"/>
  </r>
  <r>
    <n v="16"/>
    <x v="1"/>
    <n v="202211"/>
    <x v="3"/>
    <n v="0.5"/>
  </r>
  <r>
    <n v="17"/>
    <x v="2"/>
    <n v="202201"/>
    <x v="0"/>
    <n v="1"/>
  </r>
  <r>
    <n v="17"/>
    <x v="2"/>
    <n v="202204"/>
    <x v="1"/>
    <n v="1"/>
  </r>
  <r>
    <n v="17"/>
    <x v="2"/>
    <n v="202210"/>
    <x v="2"/>
    <n v="0"/>
  </r>
  <r>
    <n v="17"/>
    <x v="2"/>
    <n v="202211"/>
    <x v="3"/>
    <n v="0"/>
  </r>
  <r>
    <n v="18"/>
    <x v="3"/>
    <n v="202201"/>
    <x v="0"/>
    <n v="1"/>
  </r>
  <r>
    <n v="18"/>
    <x v="3"/>
    <n v="202204"/>
    <x v="1"/>
    <n v="1"/>
  </r>
  <r>
    <n v="18"/>
    <x v="3"/>
    <n v="202210"/>
    <x v="2"/>
    <n v="0"/>
  </r>
  <r>
    <n v="18"/>
    <x v="3"/>
    <n v="202211"/>
    <x v="3"/>
    <n v="0"/>
  </r>
  <r>
    <n v="19"/>
    <x v="4"/>
    <n v="202201"/>
    <x v="0"/>
    <n v="1"/>
  </r>
  <r>
    <n v="19"/>
    <x v="4"/>
    <n v="202204"/>
    <x v="1"/>
    <n v="1"/>
  </r>
  <r>
    <n v="19"/>
    <x v="4"/>
    <n v="202210"/>
    <x v="2"/>
    <n v="1"/>
  </r>
  <r>
    <n v="19"/>
    <x v="4"/>
    <n v="202211"/>
    <x v="3"/>
    <n v="0"/>
  </r>
  <r>
    <n v="20"/>
    <x v="5"/>
    <n v="202201"/>
    <x v="0"/>
    <n v="1"/>
  </r>
  <r>
    <n v="20"/>
    <x v="5"/>
    <n v="202204"/>
    <x v="1"/>
    <n v="1"/>
  </r>
  <r>
    <n v="20"/>
    <x v="5"/>
    <n v="202210"/>
    <x v="2"/>
    <n v="0.5"/>
  </r>
  <r>
    <n v="20"/>
    <x v="5"/>
    <n v="202211"/>
    <x v="3"/>
    <n v="0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1E1994-516C-493B-B95F-DFDAE917BBF3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J3:Q9" firstHeaderRow="1" firstDataRow="2" firstDataCol="1"/>
  <pivotFields count="5">
    <pivotField showAll="0"/>
    <pivotField axis="axisCol" numFmtId="179" showAll="0">
      <items count="10">
        <item m="1" x="6"/>
        <item m="1" x="7"/>
        <item m="1" x="8"/>
        <item x="0"/>
        <item x="1"/>
        <item x="2"/>
        <item x="3"/>
        <item x="4"/>
        <item x="5"/>
        <item t="default"/>
      </items>
    </pivotField>
    <pivotField showAll="0"/>
    <pivotField axis="axisRow" showAll="0">
      <items count="9">
        <item x="1"/>
        <item x="0"/>
        <item m="1" x="5"/>
        <item x="3"/>
        <item m="1" x="7"/>
        <item m="1" x="6"/>
        <item m="1" x="4"/>
        <item x="2"/>
        <item t="default"/>
      </items>
    </pivotField>
    <pivotField dataField="1" showAll="0"/>
  </pivotFields>
  <rowFields count="1">
    <field x="3"/>
  </rowFields>
  <rowItems count="5">
    <i>
      <x/>
    </i>
    <i>
      <x v="1"/>
    </i>
    <i>
      <x v="3"/>
    </i>
    <i>
      <x v="7"/>
    </i>
    <i t="grand">
      <x/>
    </i>
  </rowItems>
  <colFields count="1">
    <field x="1"/>
  </colFields>
  <colItems count="7"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合計 / 参加可否" fld="4" baseField="0" baseItem="0"/>
  </dataFields>
  <pivotTableStyleInfo name="PivotStyleMedium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901E39-B2C2-4086-B218-3A7C4908D578}" name="mMember" displayName="mMember" ref="A1:L30" totalsRowShown="0" dataDxfId="48">
  <autoFilter ref="A1:L30" xr:uid="{A9901E39-B2C2-4086-B218-3A7C4908D578}"/>
  <tableColumns count="12">
    <tableColumn id="1" xr3:uid="{1DD24435-5150-482C-856E-3E012A56F839}" name="ID" dataDxfId="47"/>
    <tableColumn id="2" xr3:uid="{E4491B20-D827-4C55-8366-5599B6C7485E}" name="姓" dataDxfId="46"/>
    <tableColumn id="3" xr3:uid="{70939716-8DE1-4596-A94D-3AD5A0734FEF}" name="名" dataDxfId="45"/>
    <tableColumn id="4" xr3:uid="{4B1BBD70-3BDF-41A6-B294-C5C9459DEB53}" name="姓_カナ" dataDxfId="44"/>
    <tableColumn id="5" xr3:uid="{AF1937AD-E806-4549-9304-B83ACE016499}" name="名_カナ" dataDxfId="43"/>
    <tableColumn id="11" xr3:uid="{2A57ACFB-ACC2-4CC1-BE8A-92F24EE16D83}" name="氏名" dataDxfId="42"/>
    <tableColumn id="6" xr3:uid="{B9A4A963-5F74-446A-A458-DCDDF8ACB941}" name="入会年月日" dataDxfId="41"/>
    <tableColumn id="12" xr3:uid="{CC539709-2EAF-4AA0-96EC-229F1577B62F}" name="退会年月日" dataDxfId="40"/>
    <tableColumn id="7" xr3:uid="{A230C61A-7764-4922-9EF1-6D00E352A115}" name="is東洋大" dataDxfId="39"/>
    <tableColumn id="8" xr3:uid="{29FBA8F0-0628-4F42-A492-B450288445DA}" name="東洋_期" dataDxfId="38"/>
    <tableColumn id="9" xr3:uid="{07C204EA-57A4-4386-A8DD-28D82BEB4AFB}" name="mail" dataDxfId="37"/>
    <tableColumn id="10" xr3:uid="{B95B61ED-F9D6-445A-95E3-EC4DE9CFA694}" name="備考" dataDxfId="3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A89903-8285-4323-AB83-86FE617E704B}" name="tmMeeting" displayName="tmMeeting" ref="A1:H18" totalsRowShown="0" dataDxfId="35">
  <autoFilter ref="A1:H18" xr:uid="{CEA89903-8285-4323-AB83-86FE617E704B}"/>
  <tableColumns count="8">
    <tableColumn id="1" xr3:uid="{75D3E662-22B3-4D5C-9A18-F9694D8ECE9E}" name="MTG_No" dataDxfId="34"/>
    <tableColumn id="2" xr3:uid="{3B796F63-9E9F-45C6-BC85-1985CFE602F2}" name="日付" dataDxfId="33"/>
    <tableColumn id="3" xr3:uid="{CCD4B7E0-B596-4369-B4B8-097EAE40C597}" name="場所" dataDxfId="32"/>
    <tableColumn id="4" xr3:uid="{23C23177-53C4-470E-8687-FB46B188F599}" name="会議室名" dataDxfId="31"/>
    <tableColumn id="5" xr3:uid="{2957653D-2D2D-4A24-8873-E9AA17F6AAA4}" name="開始時間" dataDxfId="30"/>
    <tableColumn id="6" xr3:uid="{E0FB4D31-0EAD-452C-8C73-4DA0D605C8B0}" name="コマ数" dataDxfId="29"/>
    <tableColumn id="7" xr3:uid="{F07E1886-5F5A-4643-89B9-D80D603443BD}" name="費用" dataDxfId="28" dataCellStyle="桁区切り"/>
    <tableColumn id="8" xr3:uid="{EE150A6F-6261-45FA-86FB-79B2636DC6A5}" name="日程決定案内日" dataDxfId="2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A1BEF66-DBD8-44B7-970D-15FF88EF09B6}" name="tRoster" displayName="tRoster" ref="A3:E32" totalsRowShown="0" dataDxfId="0">
  <autoFilter ref="A3:E32" xr:uid="{CA1BEF66-DBD8-44B7-970D-15FF88EF09B6}"/>
  <sortState xmlns:xlrd2="http://schemas.microsoft.com/office/spreadsheetml/2017/richdata2" ref="A4:E4">
    <sortCondition descending="1" ref="E3:E4"/>
  </sortState>
  <tableColumns count="5">
    <tableColumn id="3" xr3:uid="{E224DA49-B932-47DE-9998-2D807BCCFA25}" name="参加者ID" dataDxfId="5"/>
    <tableColumn id="4" xr3:uid="{DC965BEF-D579-4148-ADA9-F8F45A20DBCE}" name="氏名" dataDxfId="4"/>
    <tableColumn id="6" xr3:uid="{7BAD0A59-3ECD-4DE1-ADE1-58DDEA95C1C5}" name="調整時_x000a_参加可否" dataDxfId="3"/>
    <tableColumn id="2" xr3:uid="{CC05CE17-27EA-4ACD-B220-FE9D0126BD9E}" name="出欠予定" dataDxfId="2"/>
    <tableColumn id="7" xr3:uid="{EB602701-243D-42A3-8B98-FCBC658CD0DD}" name="当日出欠" dataDxfId="1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7963CA-DF5A-4067-8955-56A07104359F}" name="tmMtgDateNom" displayName="tmMtgDateNom" ref="A1:G13" totalsRowShown="0" dataDxfId="26">
  <autoFilter ref="A1:G13" xr:uid="{8B7963CA-DF5A-4067-8955-56A07104359F}"/>
  <tableColumns count="7">
    <tableColumn id="7" xr3:uid="{F84A49F7-578C-454D-ABE1-EEAEB2521A49}" name="NomID" dataDxfId="25"/>
    <tableColumn id="1" xr3:uid="{2F870DBD-FA0B-46FE-B742-CF065CFF6D59}" name="MTG_No" dataDxfId="24"/>
    <tableColumn id="2" xr3:uid="{7E3C6DEF-071A-4703-917B-15663E801C97}" name="日付" dataDxfId="23"/>
    <tableColumn id="3" xr3:uid="{6060327C-78DD-4607-9BAD-7AD35BC5E89B}" name="曜日" dataDxfId="22"/>
    <tableColumn id="4" xr3:uid="{893FF169-D7E6-4195-9EB4-65ED44FDF579}" name="時間" dataDxfId="21"/>
    <tableColumn id="5" xr3:uid="{A2607EC7-220E-463A-9E0F-23B69B7E911C}" name="場所" dataDxfId="20"/>
    <tableColumn id="6" xr3:uid="{D6021CB1-B6C0-4F53-9B3D-B810983805E6}" name="会議室" dataDxfId="1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8B10397-D7B8-4BB0-B072-83759C4C742E}" name="tMtgDatePick" displayName="tMtgDatePick" ref="A3:E27" totalsRowShown="0" dataDxfId="18">
  <autoFilter ref="A3:E27" xr:uid="{28B10397-D7B8-4BB0-B072-83759C4C742E}"/>
  <tableColumns count="5">
    <tableColumn id="2" xr3:uid="{4D4E6A25-1F1C-4F91-81C3-77152B0B9DE4}" name="NomID" dataDxfId="17"/>
    <tableColumn id="3" xr3:uid="{5A05F830-7D5B-4FB6-9347-CA3D0EFC23AE}" name="日付" dataDxfId="16"/>
    <tableColumn id="4" xr3:uid="{37D29E17-4D0C-4C80-B4DA-156EF9CD50F3}" name="MemberID" dataDxfId="15"/>
    <tableColumn id="5" xr3:uid="{D1A4613A-83CB-41EF-BCA3-602EBA8AFEE3}" name="氏名" dataDxfId="14"/>
    <tableColumn id="6" xr3:uid="{8809F09F-60F7-4CAA-8B97-D4647B5592D0}" name="参加可否" dataDxfId="13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DB2664-0977-4964-9C4C-CA3F39676937}" name="tMtgDatePickEntry_D" displayName="tMtgDatePickEntry_D" ref="A4:B5" insertRow="1" totalsRowShown="0" dataDxfId="12">
  <autoFilter ref="A4:B5" xr:uid="{28B10397-D7B8-4BB0-B072-83759C4C742E}"/>
  <tableColumns count="2">
    <tableColumn id="3" xr3:uid="{8E6058A2-24B2-4B38-A375-05ED4F4F3A0E}" name="氏名" dataDxfId="11"/>
    <tableColumn id="6" xr3:uid="{0BCD1878-ACC1-441C-9B66-0748F7887FCE}" name="参加可否" dataDxfId="10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877B52-CCA6-4F92-AC67-91FCD7F9DDF7}" name="tMtgDatePickEntry" displayName="tMtgDatePickEntry" ref="A4:C5" insertRow="1" totalsRowShown="0" dataDxfId="9">
  <autoFilter ref="A4:C5" xr:uid="{28B10397-D7B8-4BB0-B072-83759C4C742E}"/>
  <tableColumns count="3">
    <tableColumn id="2" xr3:uid="{FDC2AB81-2E16-477D-9B1C-6F1BFA18007B}" name="NomID" dataDxfId="8"/>
    <tableColumn id="3" xr3:uid="{8866C56F-8879-4469-BD33-D4C164D1A433}" name="日付" dataDxfId="7"/>
    <tableColumn id="6" xr3:uid="{429CDE28-EC12-49E3-A24F-EB3C67E27139}" name="参加可否" dataDxfId="6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UI-MeiryoUI">
      <a:majorFont>
        <a:latin typeface="Segoe UI"/>
        <a:ea typeface="Meiryo UI"/>
        <a:cs typeface=""/>
      </a:majorFont>
      <a:minorFont>
        <a:latin typeface="Segoe UI"/>
        <a:ea typeface="Meiryo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1B76C-3C93-45D5-BEED-C8F8F5ED7DA7}">
  <sheetPr codeName="Sheet1"/>
  <dimension ref="A1:J6"/>
  <sheetViews>
    <sheetView workbookViewId="0">
      <selection activeCell="H2" sqref="H2"/>
    </sheetView>
  </sheetViews>
  <sheetFormatPr defaultRowHeight="15.75" x14ac:dyDescent="0.25"/>
  <cols>
    <col min="2" max="2" width="11" customWidth="1"/>
    <col min="3" max="3" width="13.5546875" bestFit="1" customWidth="1"/>
    <col min="4" max="4" width="17.21875" bestFit="1" customWidth="1"/>
    <col min="5" max="6" width="11.6640625" bestFit="1" customWidth="1"/>
    <col min="7" max="7" width="24.44140625" bestFit="1" customWidth="1"/>
    <col min="8" max="8" width="13.5546875" bestFit="1" customWidth="1"/>
    <col min="9" max="9" width="14.21875" bestFit="1" customWidth="1"/>
    <col min="10" max="10" width="16.109375" bestFit="1" customWidth="1"/>
  </cols>
  <sheetData>
    <row r="1" spans="1:10" x14ac:dyDescent="0.25">
      <c r="A1" t="s">
        <v>201</v>
      </c>
      <c r="B1" t="s">
        <v>0</v>
      </c>
      <c r="C1" t="s">
        <v>1</v>
      </c>
      <c r="D1" t="s">
        <v>4</v>
      </c>
      <c r="E1" t="s">
        <v>2</v>
      </c>
      <c r="F1" t="s">
        <v>3</v>
      </c>
      <c r="G1" t="s">
        <v>5</v>
      </c>
      <c r="H1" t="s">
        <v>6</v>
      </c>
      <c r="I1" t="s">
        <v>7</v>
      </c>
      <c r="J1" t="s">
        <v>8</v>
      </c>
    </row>
    <row r="2" spans="1:10" x14ac:dyDescent="0.25">
      <c r="A2" s="1">
        <v>45102</v>
      </c>
      <c r="B2" s="1">
        <f>_xlfn.XLOOKUP(A2,tmMeeting[日付],tmMeeting[日程決定案内日])</f>
        <v>45038</v>
      </c>
      <c r="C2">
        <f>COUNTIFS(mMember[入会年月日],"&lt;="&amp;B2,mMember[退会年月日],"&gt;"&amp;B2)</f>
        <v>22</v>
      </c>
      <c r="D2">
        <v>6</v>
      </c>
      <c r="E2">
        <f>COUNTIFS(mMember[入会年月日],"&lt;="&amp;A2,mMember[退会年月日],"&gt;"&amp;A2)</f>
        <v>29</v>
      </c>
      <c r="F2">
        <v>5</v>
      </c>
      <c r="G2" s="2">
        <v>0.5</v>
      </c>
      <c r="H2" s="2">
        <f>F2/E2</f>
        <v>0.17241379310344829</v>
      </c>
    </row>
    <row r="3" spans="1:10" x14ac:dyDescent="0.25">
      <c r="A3" s="1">
        <v>45129</v>
      </c>
      <c r="B3" s="1">
        <f>_xlfn.XLOOKUP(A3,tmMeeting[日付],tmMeeting[日程決定案内日])</f>
        <v>45068</v>
      </c>
      <c r="C3">
        <f>COUNTIFS(mMember[入会年月日],"&lt;="&amp;B3,mMember[退会年月日],"&gt;"&amp;B3)</f>
        <v>26</v>
      </c>
      <c r="D3">
        <v>8</v>
      </c>
      <c r="E3">
        <f>COUNTIFS(mMember[入会年月日],"&lt;="&amp;A3,mMember[退会年月日],"&gt;"&amp;A3)</f>
        <v>29</v>
      </c>
      <c r="F3">
        <v>7</v>
      </c>
      <c r="G3" s="20">
        <f>F3/D3</f>
        <v>0.875</v>
      </c>
      <c r="H3" s="2">
        <f>F3/E3</f>
        <v>0.2413793103448276</v>
      </c>
    </row>
    <row r="4" spans="1:10" x14ac:dyDescent="0.25">
      <c r="A4" s="1">
        <v>45158</v>
      </c>
      <c r="B4" s="1">
        <f>_xlfn.XLOOKUP(A4,tmMeeting[日付],tmMeeting[日程決定案内日])</f>
        <v>45102</v>
      </c>
      <c r="C4">
        <f>COUNTIFS(mMember[入会年月日],"&lt;="&amp;B4,mMember[退会年月日],"&gt;"&amp;B4)</f>
        <v>29</v>
      </c>
      <c r="D4">
        <v>10</v>
      </c>
      <c r="E4">
        <f>COUNTIFS(mMember[入会年月日],"&lt;="&amp;A4,mMember[退会年月日],"&gt;"&amp;A4)</f>
        <v>29</v>
      </c>
    </row>
    <row r="5" spans="1:10" x14ac:dyDescent="0.25">
      <c r="A5" s="1">
        <v>45192</v>
      </c>
      <c r="B5" s="1">
        <f>_xlfn.XLOOKUP(A5,tmMeeting[日付],tmMeeting[日程決定案内日])</f>
        <v>45128</v>
      </c>
      <c r="C5">
        <f>COUNTIFS(mMember[入会年月日],"&lt;="&amp;B5,mMember[退会年月日],"&gt;"&amp;B5)</f>
        <v>29</v>
      </c>
    </row>
    <row r="6" spans="1:10" x14ac:dyDescent="0.25">
      <c r="B6" s="1">
        <v>45158</v>
      </c>
      <c r="C6">
        <f>COUNTIFS(mMember[入会年月日],"&lt;="&amp;B6,mMember[退会年月日],"&gt;"&amp;B6)</f>
        <v>29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606B9-4AD9-48A8-8F9C-EADF915946CB}">
  <sheetPr codeName="wksHome"/>
  <dimension ref="B2:D4"/>
  <sheetViews>
    <sheetView tabSelected="1" workbookViewId="0">
      <selection activeCell="F17" sqref="F17"/>
    </sheetView>
  </sheetViews>
  <sheetFormatPr defaultRowHeight="15.75" x14ac:dyDescent="0.25"/>
  <sheetData>
    <row r="2" spans="2:4" x14ac:dyDescent="0.25">
      <c r="B2" s="8" t="s">
        <v>58</v>
      </c>
      <c r="C2" s="8"/>
      <c r="D2" s="8"/>
    </row>
    <row r="3" spans="2:4" x14ac:dyDescent="0.25">
      <c r="B3" s="9" t="s">
        <v>57</v>
      </c>
      <c r="C3" s="24" t="s">
        <v>59</v>
      </c>
      <c r="D3" s="25"/>
    </row>
    <row r="4" spans="2:4" x14ac:dyDescent="0.25">
      <c r="B4" s="10">
        <v>15</v>
      </c>
      <c r="C4" s="26" t="s">
        <v>202</v>
      </c>
      <c r="D4" s="27"/>
    </row>
  </sheetData>
  <mergeCells count="2">
    <mergeCell ref="C3:D3"/>
    <mergeCell ref="C4:D4"/>
  </mergeCells>
  <phoneticPr fontId="2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E9E81-CF44-4EDA-9626-A9E4CB75C6D0}">
  <sheetPr codeName="wksMember"/>
  <dimension ref="A1:L30"/>
  <sheetViews>
    <sheetView workbookViewId="0">
      <selection activeCell="C25" sqref="C25"/>
    </sheetView>
  </sheetViews>
  <sheetFormatPr defaultRowHeight="15.75" x14ac:dyDescent="0.25"/>
  <cols>
    <col min="4" max="8" width="12.109375" customWidth="1"/>
    <col min="9" max="9" width="9.88671875" customWidth="1"/>
    <col min="10" max="10" width="9.44140625" customWidth="1"/>
    <col min="12" max="12" width="15.109375" customWidth="1"/>
  </cols>
  <sheetData>
    <row r="1" spans="1:12" x14ac:dyDescent="0.25">
      <c r="A1" t="s">
        <v>9</v>
      </c>
      <c r="B1" t="s">
        <v>25</v>
      </c>
      <c r="C1" t="s">
        <v>10</v>
      </c>
      <c r="D1" t="s">
        <v>26</v>
      </c>
      <c r="E1" t="s">
        <v>27</v>
      </c>
      <c r="F1" t="s">
        <v>36</v>
      </c>
      <c r="G1" t="s">
        <v>11</v>
      </c>
      <c r="H1" t="s">
        <v>199</v>
      </c>
      <c r="I1" t="s">
        <v>12</v>
      </c>
      <c r="J1" t="s">
        <v>13</v>
      </c>
      <c r="K1" t="s">
        <v>14</v>
      </c>
      <c r="L1" t="s">
        <v>21</v>
      </c>
    </row>
    <row r="2" spans="1:12" x14ac:dyDescent="0.25">
      <c r="A2" s="13">
        <v>202201</v>
      </c>
      <c r="B2" s="13" t="s">
        <v>60</v>
      </c>
      <c r="C2" s="13" t="s">
        <v>61</v>
      </c>
      <c r="D2" s="13" t="s">
        <v>194</v>
      </c>
      <c r="E2" s="13" t="s">
        <v>62</v>
      </c>
      <c r="F2" s="13" t="s">
        <v>38</v>
      </c>
      <c r="G2" s="22">
        <v>44701</v>
      </c>
      <c r="H2" s="22">
        <v>2958465</v>
      </c>
      <c r="I2" s="13">
        <v>1</v>
      </c>
      <c r="J2" s="13">
        <v>11</v>
      </c>
      <c r="K2" s="13"/>
      <c r="L2" s="13"/>
    </row>
    <row r="3" spans="1:12" x14ac:dyDescent="0.25">
      <c r="A3" s="13">
        <v>202202</v>
      </c>
      <c r="B3" s="13" t="s">
        <v>63</v>
      </c>
      <c r="C3" s="13" t="s">
        <v>64</v>
      </c>
      <c r="D3" s="13" t="s">
        <v>65</v>
      </c>
      <c r="E3" s="13" t="s">
        <v>66</v>
      </c>
      <c r="F3" s="13" t="s">
        <v>67</v>
      </c>
      <c r="G3" s="22">
        <v>44701</v>
      </c>
      <c r="H3" s="22">
        <v>2958465</v>
      </c>
      <c r="I3" s="13">
        <v>1</v>
      </c>
      <c r="J3" s="13">
        <v>11</v>
      </c>
      <c r="K3" s="13"/>
      <c r="L3" s="13"/>
    </row>
    <row r="4" spans="1:12" x14ac:dyDescent="0.25">
      <c r="A4" s="13">
        <v>202203</v>
      </c>
      <c r="B4" s="13" t="s">
        <v>68</v>
      </c>
      <c r="C4" s="13" t="s">
        <v>69</v>
      </c>
      <c r="D4" s="13" t="s">
        <v>70</v>
      </c>
      <c r="E4" s="13" t="s">
        <v>71</v>
      </c>
      <c r="F4" s="13" t="s">
        <v>47</v>
      </c>
      <c r="G4" s="22">
        <v>44701</v>
      </c>
      <c r="H4" s="22">
        <v>2958465</v>
      </c>
      <c r="I4" s="13">
        <v>1</v>
      </c>
      <c r="J4" s="13">
        <v>11</v>
      </c>
      <c r="K4" s="13"/>
      <c r="L4" s="13"/>
    </row>
    <row r="5" spans="1:12" x14ac:dyDescent="0.25">
      <c r="A5" s="13">
        <v>202204</v>
      </c>
      <c r="B5" s="13" t="s">
        <v>72</v>
      </c>
      <c r="C5" s="13" t="s">
        <v>73</v>
      </c>
      <c r="D5" s="13" t="s">
        <v>74</v>
      </c>
      <c r="E5" s="13" t="s">
        <v>75</v>
      </c>
      <c r="F5" s="13" t="s">
        <v>43</v>
      </c>
      <c r="G5" s="22">
        <v>44701</v>
      </c>
      <c r="H5" s="22">
        <v>2958465</v>
      </c>
      <c r="I5" s="13">
        <v>1</v>
      </c>
      <c r="J5" s="13">
        <v>11</v>
      </c>
      <c r="K5" s="13"/>
      <c r="L5" s="13"/>
    </row>
    <row r="6" spans="1:12" x14ac:dyDescent="0.25">
      <c r="A6" s="13">
        <v>202205</v>
      </c>
      <c r="B6" s="13" t="s">
        <v>76</v>
      </c>
      <c r="C6" s="13" t="s">
        <v>77</v>
      </c>
      <c r="D6" s="13" t="s">
        <v>78</v>
      </c>
      <c r="E6" s="13" t="s">
        <v>79</v>
      </c>
      <c r="F6" s="13" t="s">
        <v>80</v>
      </c>
      <c r="G6" s="22">
        <v>44701</v>
      </c>
      <c r="H6" s="22">
        <v>2958465</v>
      </c>
      <c r="I6" s="13">
        <v>1</v>
      </c>
      <c r="J6" s="13">
        <v>11</v>
      </c>
      <c r="K6" s="13"/>
      <c r="L6" s="13"/>
    </row>
    <row r="7" spans="1:12" x14ac:dyDescent="0.25">
      <c r="A7" s="13">
        <v>202206</v>
      </c>
      <c r="B7" s="13" t="s">
        <v>81</v>
      </c>
      <c r="C7" s="13" t="s">
        <v>82</v>
      </c>
      <c r="D7" s="13" t="s">
        <v>83</v>
      </c>
      <c r="E7" s="13" t="s">
        <v>84</v>
      </c>
      <c r="F7" s="13" t="s">
        <v>85</v>
      </c>
      <c r="G7" s="22">
        <v>44701</v>
      </c>
      <c r="H7" s="22">
        <v>2958465</v>
      </c>
      <c r="I7" s="13">
        <v>1</v>
      </c>
      <c r="J7" s="13">
        <v>11</v>
      </c>
      <c r="K7" s="13"/>
      <c r="L7" s="13"/>
    </row>
    <row r="8" spans="1:12" x14ac:dyDescent="0.25">
      <c r="A8" s="13">
        <v>202207</v>
      </c>
      <c r="B8" s="13" t="s">
        <v>86</v>
      </c>
      <c r="C8" s="13" t="s">
        <v>87</v>
      </c>
      <c r="D8" s="13" t="s">
        <v>88</v>
      </c>
      <c r="E8" s="13" t="s">
        <v>89</v>
      </c>
      <c r="F8" s="13" t="s">
        <v>42</v>
      </c>
      <c r="G8" s="22">
        <v>44701</v>
      </c>
      <c r="H8" s="22">
        <v>2958465</v>
      </c>
      <c r="I8" s="13">
        <v>1</v>
      </c>
      <c r="J8" s="13">
        <v>11</v>
      </c>
      <c r="K8" s="13"/>
      <c r="L8" s="13"/>
    </row>
    <row r="9" spans="1:12" x14ac:dyDescent="0.25">
      <c r="A9" s="13">
        <v>202208</v>
      </c>
      <c r="B9" s="13" t="s">
        <v>90</v>
      </c>
      <c r="C9" s="13" t="s">
        <v>91</v>
      </c>
      <c r="D9" s="13" t="s">
        <v>92</v>
      </c>
      <c r="E9" s="13" t="s">
        <v>93</v>
      </c>
      <c r="F9" s="13" t="s">
        <v>39</v>
      </c>
      <c r="G9" s="22">
        <v>44701</v>
      </c>
      <c r="H9" s="22">
        <v>2958465</v>
      </c>
      <c r="I9" s="13">
        <v>1</v>
      </c>
      <c r="J9" s="13">
        <v>11</v>
      </c>
      <c r="K9" s="13"/>
      <c r="L9" s="13"/>
    </row>
    <row r="10" spans="1:12" x14ac:dyDescent="0.25">
      <c r="A10" s="13">
        <v>202209</v>
      </c>
      <c r="B10" s="13" t="s">
        <v>94</v>
      </c>
      <c r="C10" s="13" t="s">
        <v>95</v>
      </c>
      <c r="D10" s="13" t="s">
        <v>96</v>
      </c>
      <c r="E10" s="13" t="s">
        <v>97</v>
      </c>
      <c r="F10" s="13" t="s">
        <v>44</v>
      </c>
      <c r="G10" s="22">
        <v>44701</v>
      </c>
      <c r="H10" s="22">
        <v>2958465</v>
      </c>
      <c r="I10" s="13">
        <v>1</v>
      </c>
      <c r="J10" s="13">
        <v>11</v>
      </c>
      <c r="K10" s="13"/>
      <c r="L10" s="13"/>
    </row>
    <row r="11" spans="1:12" x14ac:dyDescent="0.25">
      <c r="A11" s="13">
        <v>202210</v>
      </c>
      <c r="B11" s="13" t="s">
        <v>98</v>
      </c>
      <c r="C11" s="13" t="s">
        <v>99</v>
      </c>
      <c r="D11" s="13" t="s">
        <v>100</v>
      </c>
      <c r="E11" s="13" t="s">
        <v>101</v>
      </c>
      <c r="F11" s="13" t="s">
        <v>48</v>
      </c>
      <c r="G11" s="22">
        <v>44730</v>
      </c>
      <c r="H11" s="22">
        <v>2958465</v>
      </c>
      <c r="I11" s="13">
        <v>1</v>
      </c>
      <c r="J11" s="13">
        <v>11</v>
      </c>
      <c r="K11" s="13"/>
      <c r="L11" s="13"/>
    </row>
    <row r="12" spans="1:12" x14ac:dyDescent="0.25">
      <c r="A12" s="13">
        <v>202211</v>
      </c>
      <c r="B12" s="13" t="s">
        <v>102</v>
      </c>
      <c r="C12" s="13" t="s">
        <v>103</v>
      </c>
      <c r="D12" s="13" t="s">
        <v>104</v>
      </c>
      <c r="E12" s="13" t="s">
        <v>105</v>
      </c>
      <c r="F12" s="13" t="s">
        <v>49</v>
      </c>
      <c r="G12" s="22">
        <v>44730</v>
      </c>
      <c r="H12" s="22">
        <v>2958465</v>
      </c>
      <c r="I12" s="13">
        <v>1</v>
      </c>
      <c r="J12" s="13">
        <v>11</v>
      </c>
      <c r="K12" s="13"/>
      <c r="L12" s="13"/>
    </row>
    <row r="13" spans="1:12" x14ac:dyDescent="0.25">
      <c r="A13" s="13">
        <v>202212</v>
      </c>
      <c r="B13" s="13" t="s">
        <v>106</v>
      </c>
      <c r="C13" s="13" t="s">
        <v>107</v>
      </c>
      <c r="D13" s="13" t="s">
        <v>108</v>
      </c>
      <c r="E13" s="13" t="s">
        <v>109</v>
      </c>
      <c r="F13" s="13" t="s">
        <v>110</v>
      </c>
      <c r="G13" s="22">
        <v>44730</v>
      </c>
      <c r="H13" s="22">
        <v>2958465</v>
      </c>
      <c r="I13" s="13">
        <v>1</v>
      </c>
      <c r="J13" s="13">
        <v>11</v>
      </c>
      <c r="K13" s="13"/>
      <c r="L13" s="13"/>
    </row>
    <row r="14" spans="1:12" x14ac:dyDescent="0.25">
      <c r="A14" s="13">
        <v>202213</v>
      </c>
      <c r="B14" s="13" t="s">
        <v>111</v>
      </c>
      <c r="C14" s="13" t="s">
        <v>112</v>
      </c>
      <c r="D14" s="13" t="s">
        <v>113</v>
      </c>
      <c r="E14" s="13" t="s">
        <v>114</v>
      </c>
      <c r="F14" s="13" t="s">
        <v>115</v>
      </c>
      <c r="G14" s="22">
        <v>44730</v>
      </c>
      <c r="H14" s="22">
        <v>2958465</v>
      </c>
      <c r="I14" s="13">
        <v>1</v>
      </c>
      <c r="J14" s="13">
        <v>11</v>
      </c>
      <c r="K14" s="13"/>
      <c r="L14" s="13"/>
    </row>
    <row r="15" spans="1:12" x14ac:dyDescent="0.25">
      <c r="A15" s="13">
        <v>202214</v>
      </c>
      <c r="B15" s="13" t="s">
        <v>116</v>
      </c>
      <c r="C15" s="13" t="s">
        <v>117</v>
      </c>
      <c r="D15" s="13" t="s">
        <v>118</v>
      </c>
      <c r="E15" s="13" t="s">
        <v>119</v>
      </c>
      <c r="F15" s="13" t="s">
        <v>51</v>
      </c>
      <c r="G15" s="22">
        <v>44749</v>
      </c>
      <c r="H15" s="22">
        <v>2958465</v>
      </c>
      <c r="I15" s="13">
        <v>1</v>
      </c>
      <c r="J15" s="13">
        <v>11</v>
      </c>
      <c r="K15" s="13"/>
      <c r="L15" s="13"/>
    </row>
    <row r="16" spans="1:12" x14ac:dyDescent="0.25">
      <c r="A16" s="13">
        <v>202215</v>
      </c>
      <c r="B16" s="13" t="s">
        <v>120</v>
      </c>
      <c r="C16" s="13" t="s">
        <v>121</v>
      </c>
      <c r="D16" s="13" t="s">
        <v>122</v>
      </c>
      <c r="E16" s="13" t="s">
        <v>123</v>
      </c>
      <c r="F16" s="13" t="s">
        <v>40</v>
      </c>
      <c r="G16" s="22">
        <v>44772</v>
      </c>
      <c r="H16" s="22">
        <v>2958465</v>
      </c>
      <c r="I16" s="13">
        <v>1</v>
      </c>
      <c r="J16" s="13">
        <v>12</v>
      </c>
      <c r="K16" s="13"/>
      <c r="L16" s="13"/>
    </row>
    <row r="17" spans="1:12" x14ac:dyDescent="0.25">
      <c r="A17" s="13">
        <v>202216</v>
      </c>
      <c r="B17" s="13" t="s">
        <v>124</v>
      </c>
      <c r="C17" s="13" t="s">
        <v>125</v>
      </c>
      <c r="D17" s="13" t="s">
        <v>126</v>
      </c>
      <c r="E17" s="13" t="s">
        <v>127</v>
      </c>
      <c r="F17" s="13" t="s">
        <v>128</v>
      </c>
      <c r="G17" s="22">
        <v>44884</v>
      </c>
      <c r="H17" s="22">
        <v>2958465</v>
      </c>
      <c r="I17" s="13">
        <v>1</v>
      </c>
      <c r="J17" s="13">
        <v>11</v>
      </c>
      <c r="K17" s="13"/>
      <c r="L17" s="13"/>
    </row>
    <row r="18" spans="1:12" x14ac:dyDescent="0.25">
      <c r="A18" s="13">
        <v>202217</v>
      </c>
      <c r="B18" s="13" t="s">
        <v>129</v>
      </c>
      <c r="C18" s="13" t="s">
        <v>130</v>
      </c>
      <c r="D18" s="13" t="s">
        <v>131</v>
      </c>
      <c r="E18" s="13" t="s">
        <v>132</v>
      </c>
      <c r="F18" s="13" t="s">
        <v>133</v>
      </c>
      <c r="G18" s="22">
        <v>44884</v>
      </c>
      <c r="H18" s="22">
        <v>2958465</v>
      </c>
      <c r="I18" s="13">
        <v>1</v>
      </c>
      <c r="J18" s="13">
        <v>11</v>
      </c>
      <c r="K18" s="13"/>
      <c r="L18" s="13"/>
    </row>
    <row r="19" spans="1:12" x14ac:dyDescent="0.25">
      <c r="A19" s="13">
        <v>202218</v>
      </c>
      <c r="B19" s="13" t="s">
        <v>134</v>
      </c>
      <c r="C19" s="13" t="s">
        <v>135</v>
      </c>
      <c r="D19" s="13" t="s">
        <v>136</v>
      </c>
      <c r="E19" s="13" t="s">
        <v>93</v>
      </c>
      <c r="F19" s="13" t="s">
        <v>137</v>
      </c>
      <c r="G19" s="22">
        <v>44884</v>
      </c>
      <c r="H19" s="22">
        <v>2958465</v>
      </c>
      <c r="I19" s="13">
        <v>1</v>
      </c>
      <c r="J19" s="13">
        <v>11</v>
      </c>
      <c r="K19" s="13"/>
      <c r="L19" s="13"/>
    </row>
    <row r="20" spans="1:12" x14ac:dyDescent="0.25">
      <c r="A20" s="13">
        <v>202219</v>
      </c>
      <c r="B20" s="13" t="s">
        <v>138</v>
      </c>
      <c r="C20" s="13" t="s">
        <v>130</v>
      </c>
      <c r="D20" s="13" t="s">
        <v>139</v>
      </c>
      <c r="E20" s="13" t="s">
        <v>132</v>
      </c>
      <c r="F20" s="13" t="s">
        <v>41</v>
      </c>
      <c r="G20" s="22">
        <v>44884</v>
      </c>
      <c r="H20" s="22">
        <v>2958465</v>
      </c>
      <c r="I20" s="13">
        <v>1</v>
      </c>
      <c r="J20" s="13">
        <v>11</v>
      </c>
      <c r="K20" s="13"/>
      <c r="L20" s="13"/>
    </row>
    <row r="21" spans="1:12" x14ac:dyDescent="0.25">
      <c r="A21" s="13">
        <v>202220</v>
      </c>
      <c r="B21" s="13" t="s">
        <v>140</v>
      </c>
      <c r="C21" s="13" t="s">
        <v>141</v>
      </c>
      <c r="D21" s="13" t="s">
        <v>142</v>
      </c>
      <c r="E21" s="13" t="s">
        <v>143</v>
      </c>
      <c r="F21" s="13" t="s">
        <v>144</v>
      </c>
      <c r="G21" s="22">
        <v>44906</v>
      </c>
      <c r="H21" s="22">
        <v>2958465</v>
      </c>
      <c r="I21" s="13">
        <v>1</v>
      </c>
      <c r="J21" s="13">
        <v>12</v>
      </c>
      <c r="K21" s="13"/>
      <c r="L21" s="13"/>
    </row>
    <row r="22" spans="1:12" x14ac:dyDescent="0.25">
      <c r="A22" s="13">
        <v>202221</v>
      </c>
      <c r="B22" s="13" t="s">
        <v>145</v>
      </c>
      <c r="C22" s="13" t="s">
        <v>146</v>
      </c>
      <c r="D22" s="13" t="s">
        <v>147</v>
      </c>
      <c r="E22" s="13" t="s">
        <v>148</v>
      </c>
      <c r="F22" s="13" t="s">
        <v>149</v>
      </c>
      <c r="G22" s="22">
        <v>44906</v>
      </c>
      <c r="H22" s="22">
        <v>2958465</v>
      </c>
      <c r="I22" s="13">
        <v>1</v>
      </c>
      <c r="J22" s="13">
        <v>12</v>
      </c>
      <c r="K22" s="13"/>
      <c r="L22" s="13"/>
    </row>
    <row r="23" spans="1:12" x14ac:dyDescent="0.25">
      <c r="A23" s="13">
        <v>202301</v>
      </c>
      <c r="B23" s="13" t="s">
        <v>150</v>
      </c>
      <c r="C23" s="13" t="s">
        <v>151</v>
      </c>
      <c r="D23" s="13" t="s">
        <v>152</v>
      </c>
      <c r="E23" s="13" t="s">
        <v>105</v>
      </c>
      <c r="F23" s="13" t="s">
        <v>52</v>
      </c>
      <c r="G23" s="22">
        <v>44989</v>
      </c>
      <c r="H23" s="22">
        <v>2958465</v>
      </c>
      <c r="I23" s="13">
        <v>1</v>
      </c>
      <c r="J23" s="13">
        <v>12</v>
      </c>
      <c r="K23" s="13"/>
      <c r="L23" s="13"/>
    </row>
    <row r="24" spans="1:12" x14ac:dyDescent="0.25">
      <c r="A24" s="13">
        <v>202302</v>
      </c>
      <c r="B24" s="13" t="s">
        <v>153</v>
      </c>
      <c r="C24" s="13" t="s">
        <v>154</v>
      </c>
      <c r="D24" s="13" t="s">
        <v>155</v>
      </c>
      <c r="E24" s="13" t="s">
        <v>156</v>
      </c>
      <c r="F24" s="13" t="s">
        <v>157</v>
      </c>
      <c r="G24" s="22">
        <v>45062</v>
      </c>
      <c r="H24" s="22">
        <v>2958465</v>
      </c>
      <c r="I24" s="13">
        <v>1</v>
      </c>
      <c r="J24" s="13">
        <v>12</v>
      </c>
      <c r="K24" s="13"/>
      <c r="L24" s="13"/>
    </row>
    <row r="25" spans="1:12" x14ac:dyDescent="0.25">
      <c r="A25" s="13">
        <v>202303</v>
      </c>
      <c r="B25" s="13" t="s">
        <v>158</v>
      </c>
      <c r="C25" s="13" t="s">
        <v>159</v>
      </c>
      <c r="D25" s="13" t="s">
        <v>160</v>
      </c>
      <c r="E25" s="13" t="s">
        <v>161</v>
      </c>
      <c r="F25" s="13" t="s">
        <v>162</v>
      </c>
      <c r="G25" s="22">
        <v>45062</v>
      </c>
      <c r="H25" s="22">
        <v>2958465</v>
      </c>
      <c r="I25" s="13">
        <v>1</v>
      </c>
      <c r="J25" s="13">
        <v>12</v>
      </c>
      <c r="K25" s="13"/>
      <c r="L25" s="13"/>
    </row>
    <row r="26" spans="1:12" x14ac:dyDescent="0.25">
      <c r="A26" s="13">
        <v>202304</v>
      </c>
      <c r="B26" s="13" t="s">
        <v>163</v>
      </c>
      <c r="C26" s="13" t="s">
        <v>164</v>
      </c>
      <c r="D26" s="13" t="s">
        <v>165</v>
      </c>
      <c r="E26" s="13" t="s">
        <v>166</v>
      </c>
      <c r="F26" s="13" t="s">
        <v>53</v>
      </c>
      <c r="G26" s="22">
        <v>45062</v>
      </c>
      <c r="H26" s="22">
        <v>2958465</v>
      </c>
      <c r="I26" s="13">
        <v>0</v>
      </c>
      <c r="J26" s="13"/>
      <c r="K26" s="13"/>
      <c r="L26" s="13" t="s">
        <v>167</v>
      </c>
    </row>
    <row r="27" spans="1:12" x14ac:dyDescent="0.25">
      <c r="A27" s="13">
        <v>202305</v>
      </c>
      <c r="B27" s="13" t="s">
        <v>168</v>
      </c>
      <c r="C27" s="13" t="s">
        <v>169</v>
      </c>
      <c r="D27" s="13" t="s">
        <v>170</v>
      </c>
      <c r="E27" s="13" t="s">
        <v>171</v>
      </c>
      <c r="F27" s="13" t="s">
        <v>45</v>
      </c>
      <c r="G27" s="22">
        <v>45066</v>
      </c>
      <c r="H27" s="22">
        <v>2958465</v>
      </c>
      <c r="I27" s="13">
        <v>1</v>
      </c>
      <c r="J27" s="13">
        <v>12</v>
      </c>
      <c r="K27" s="13"/>
      <c r="L27" s="13"/>
    </row>
    <row r="28" spans="1:12" x14ac:dyDescent="0.25">
      <c r="A28" s="13">
        <v>202306</v>
      </c>
      <c r="B28" s="13" t="s">
        <v>172</v>
      </c>
      <c r="C28" s="13" t="s">
        <v>173</v>
      </c>
      <c r="D28" s="13" t="s">
        <v>174</v>
      </c>
      <c r="E28" s="13" t="s">
        <v>175</v>
      </c>
      <c r="F28" s="13" t="s">
        <v>50</v>
      </c>
      <c r="G28" s="22">
        <v>45095</v>
      </c>
      <c r="H28" s="22">
        <v>2958465</v>
      </c>
      <c r="I28" s="13">
        <v>1</v>
      </c>
      <c r="J28" s="13">
        <v>12</v>
      </c>
      <c r="K28" s="13"/>
      <c r="L28" s="13"/>
    </row>
    <row r="29" spans="1:12" x14ac:dyDescent="0.25">
      <c r="A29" s="13">
        <v>202307</v>
      </c>
      <c r="B29" s="13" t="s">
        <v>176</v>
      </c>
      <c r="C29" s="13" t="s">
        <v>177</v>
      </c>
      <c r="D29" s="13" t="s">
        <v>178</v>
      </c>
      <c r="E29" s="13" t="s">
        <v>179</v>
      </c>
      <c r="F29" s="13" t="s">
        <v>46</v>
      </c>
      <c r="G29" s="22">
        <v>45095</v>
      </c>
      <c r="H29" s="22">
        <v>2958465</v>
      </c>
      <c r="I29" s="13">
        <v>1</v>
      </c>
      <c r="J29" s="13">
        <v>12</v>
      </c>
      <c r="K29" s="13"/>
      <c r="L29" s="13"/>
    </row>
    <row r="30" spans="1:12" x14ac:dyDescent="0.25">
      <c r="A30" s="13">
        <v>202308</v>
      </c>
      <c r="B30" s="13" t="s">
        <v>180</v>
      </c>
      <c r="C30" s="13" t="s">
        <v>181</v>
      </c>
      <c r="D30" s="13" t="s">
        <v>182</v>
      </c>
      <c r="E30" s="13" t="s">
        <v>183</v>
      </c>
      <c r="F30" s="13" t="s">
        <v>184</v>
      </c>
      <c r="G30" s="22">
        <v>45095</v>
      </c>
      <c r="H30" s="22">
        <v>2958465</v>
      </c>
      <c r="I30" s="13">
        <v>1</v>
      </c>
      <c r="J30" s="13">
        <v>13</v>
      </c>
      <c r="K30" s="13"/>
      <c r="L30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C1F02-42F3-4062-BBBD-1FD27B86E0EA}">
  <sheetPr codeName="Sheet3"/>
  <dimension ref="A1:H18"/>
  <sheetViews>
    <sheetView workbookViewId="0">
      <selection activeCell="C2" sqref="C2"/>
    </sheetView>
  </sheetViews>
  <sheetFormatPr defaultRowHeight="15.75" x14ac:dyDescent="0.25"/>
  <cols>
    <col min="1" max="1" width="11" customWidth="1"/>
    <col min="2" max="2" width="11.44140625" customWidth="1"/>
    <col min="3" max="3" width="21.44140625" customWidth="1"/>
    <col min="4" max="4" width="13.88671875" customWidth="1"/>
    <col min="5" max="5" width="10.21875" customWidth="1"/>
    <col min="6" max="6" width="10.109375" customWidth="1"/>
    <col min="8" max="8" width="15.88671875" customWidth="1"/>
  </cols>
  <sheetData>
    <row r="1" spans="1:8" x14ac:dyDescent="0.25">
      <c r="A1" t="s">
        <v>28</v>
      </c>
      <c r="B1" t="s">
        <v>16</v>
      </c>
      <c r="C1" t="s">
        <v>15</v>
      </c>
      <c r="D1" t="s">
        <v>18</v>
      </c>
      <c r="E1" t="s">
        <v>22</v>
      </c>
      <c r="F1" t="s">
        <v>23</v>
      </c>
      <c r="G1" t="s">
        <v>17</v>
      </c>
      <c r="H1" t="s">
        <v>24</v>
      </c>
    </row>
    <row r="2" spans="1:8" x14ac:dyDescent="0.25">
      <c r="A2" s="13">
        <v>17</v>
      </c>
      <c r="B2" s="22">
        <v>45200</v>
      </c>
      <c r="C2" s="13" t="s">
        <v>185</v>
      </c>
      <c r="D2" s="13"/>
      <c r="E2" s="23"/>
      <c r="F2" s="13"/>
      <c r="G2" s="11"/>
      <c r="H2" s="22"/>
    </row>
    <row r="3" spans="1:8" x14ac:dyDescent="0.25">
      <c r="A3" s="13">
        <v>16</v>
      </c>
      <c r="B3" s="22">
        <v>45192</v>
      </c>
      <c r="C3" s="13" t="s">
        <v>185</v>
      </c>
      <c r="D3" s="13" t="s">
        <v>200</v>
      </c>
      <c r="E3" s="23">
        <v>0.4375</v>
      </c>
      <c r="F3" s="13">
        <v>2</v>
      </c>
      <c r="G3" s="11">
        <v>2280</v>
      </c>
      <c r="H3" s="22">
        <v>45128</v>
      </c>
    </row>
    <row r="4" spans="1:8" x14ac:dyDescent="0.25">
      <c r="A4" s="13">
        <v>15</v>
      </c>
      <c r="B4" s="22">
        <v>45158</v>
      </c>
      <c r="C4" s="13" t="s">
        <v>185</v>
      </c>
      <c r="D4" s="13" t="s">
        <v>186</v>
      </c>
      <c r="E4" s="23">
        <v>0.54166666666666663</v>
      </c>
      <c r="F4" s="13">
        <v>1</v>
      </c>
      <c r="G4" s="11">
        <v>2160</v>
      </c>
      <c r="H4" s="22">
        <v>45102</v>
      </c>
    </row>
    <row r="5" spans="1:8" x14ac:dyDescent="0.25">
      <c r="A5" s="13">
        <v>14</v>
      </c>
      <c r="B5" s="22">
        <v>45129</v>
      </c>
      <c r="C5" s="13" t="s">
        <v>185</v>
      </c>
      <c r="D5" s="13" t="s">
        <v>186</v>
      </c>
      <c r="E5" s="23">
        <v>0.39583333333333331</v>
      </c>
      <c r="F5" s="13">
        <v>1</v>
      </c>
      <c r="G5" s="11">
        <v>1440</v>
      </c>
      <c r="H5" s="22">
        <v>45068</v>
      </c>
    </row>
    <row r="6" spans="1:8" x14ac:dyDescent="0.25">
      <c r="A6" s="13">
        <v>13</v>
      </c>
      <c r="B6" s="22">
        <v>45102</v>
      </c>
      <c r="C6" s="13" t="s">
        <v>185</v>
      </c>
      <c r="D6" s="13" t="s">
        <v>186</v>
      </c>
      <c r="E6" s="23">
        <v>0.4375</v>
      </c>
      <c r="F6" s="13">
        <v>2</v>
      </c>
      <c r="G6" s="11">
        <v>3600</v>
      </c>
      <c r="H6" s="22">
        <v>45038</v>
      </c>
    </row>
    <row r="7" spans="1:8" x14ac:dyDescent="0.25">
      <c r="A7" s="13">
        <v>12</v>
      </c>
      <c r="B7" s="22">
        <v>45066</v>
      </c>
      <c r="C7" s="13" t="s">
        <v>185</v>
      </c>
      <c r="D7" s="13" t="s">
        <v>191</v>
      </c>
      <c r="E7" s="23">
        <v>0.4375</v>
      </c>
      <c r="F7" s="13">
        <v>2</v>
      </c>
      <c r="G7" s="11">
        <v>2760</v>
      </c>
      <c r="H7" s="22">
        <v>45005</v>
      </c>
    </row>
    <row r="8" spans="1:8" x14ac:dyDescent="0.25">
      <c r="A8" s="13">
        <v>11</v>
      </c>
      <c r="B8" s="22">
        <v>45025</v>
      </c>
      <c r="C8" s="13" t="s">
        <v>185</v>
      </c>
      <c r="D8" s="13" t="s">
        <v>186</v>
      </c>
      <c r="E8" s="23">
        <v>0.4375</v>
      </c>
      <c r="F8" s="13">
        <v>2</v>
      </c>
      <c r="G8" s="11">
        <v>3600</v>
      </c>
      <c r="H8" s="22"/>
    </row>
    <row r="9" spans="1:8" x14ac:dyDescent="0.25">
      <c r="A9" s="13">
        <v>10</v>
      </c>
      <c r="B9" s="22">
        <v>44997</v>
      </c>
      <c r="C9" s="13" t="s">
        <v>185</v>
      </c>
      <c r="D9" s="13" t="s">
        <v>186</v>
      </c>
      <c r="E9" s="23">
        <v>0.4375</v>
      </c>
      <c r="F9" s="13">
        <v>2</v>
      </c>
      <c r="G9" s="11">
        <v>3600</v>
      </c>
      <c r="H9" s="22"/>
    </row>
    <row r="10" spans="1:8" x14ac:dyDescent="0.25">
      <c r="A10" s="13">
        <v>9</v>
      </c>
      <c r="B10" s="22">
        <v>44982</v>
      </c>
      <c r="C10" s="13" t="s">
        <v>190</v>
      </c>
      <c r="D10" s="13"/>
      <c r="E10" s="23"/>
      <c r="F10" s="13"/>
      <c r="G10" s="11"/>
      <c r="H10" s="22"/>
    </row>
    <row r="11" spans="1:8" x14ac:dyDescent="0.25">
      <c r="A11" s="13">
        <v>8</v>
      </c>
      <c r="B11" s="22">
        <v>44941</v>
      </c>
      <c r="C11" s="13" t="s">
        <v>185</v>
      </c>
      <c r="D11" s="13" t="s">
        <v>189</v>
      </c>
      <c r="E11" s="23">
        <v>0.54166666666666663</v>
      </c>
      <c r="F11" s="13">
        <v>1</v>
      </c>
      <c r="G11" s="11"/>
      <c r="H11" s="22"/>
    </row>
    <row r="12" spans="1:8" x14ac:dyDescent="0.25">
      <c r="A12" s="13">
        <v>7</v>
      </c>
      <c r="B12" s="22">
        <v>44906</v>
      </c>
      <c r="C12" s="13" t="s">
        <v>188</v>
      </c>
      <c r="D12" s="13">
        <v>8303</v>
      </c>
      <c r="E12" s="23">
        <v>0.4375</v>
      </c>
      <c r="F12" s="13"/>
      <c r="G12" s="11"/>
      <c r="H12" s="22"/>
    </row>
    <row r="13" spans="1:8" x14ac:dyDescent="0.25">
      <c r="A13" s="13">
        <v>6</v>
      </c>
      <c r="B13" s="22">
        <v>44884</v>
      </c>
      <c r="C13" s="13" t="s">
        <v>188</v>
      </c>
      <c r="D13" s="13">
        <v>8502</v>
      </c>
      <c r="E13" s="23">
        <v>0.4375</v>
      </c>
      <c r="F13" s="13"/>
      <c r="G13" s="11"/>
      <c r="H13" s="22"/>
    </row>
    <row r="14" spans="1:8" x14ac:dyDescent="0.25">
      <c r="A14" s="13">
        <v>5</v>
      </c>
      <c r="B14" s="22">
        <v>44864</v>
      </c>
      <c r="C14" s="13" t="s">
        <v>185</v>
      </c>
      <c r="D14" s="13" t="s">
        <v>186</v>
      </c>
      <c r="E14" s="23">
        <v>0.4375</v>
      </c>
      <c r="F14" s="13">
        <v>2</v>
      </c>
      <c r="G14" s="11"/>
      <c r="H14" s="22"/>
    </row>
    <row r="15" spans="1:8" x14ac:dyDescent="0.25">
      <c r="A15" s="13">
        <v>4</v>
      </c>
      <c r="B15" s="22">
        <v>44827</v>
      </c>
      <c r="C15" s="13" t="s">
        <v>185</v>
      </c>
      <c r="D15" s="13" t="s">
        <v>187</v>
      </c>
      <c r="E15" s="23">
        <v>0.4375</v>
      </c>
      <c r="F15" s="13">
        <v>2</v>
      </c>
      <c r="G15" s="11"/>
      <c r="H15" s="22"/>
    </row>
    <row r="16" spans="1:8" x14ac:dyDescent="0.25">
      <c r="A16" s="13">
        <v>3</v>
      </c>
      <c r="B16" s="22">
        <v>44794</v>
      </c>
      <c r="C16" s="13" t="s">
        <v>185</v>
      </c>
      <c r="D16" s="13" t="s">
        <v>187</v>
      </c>
      <c r="E16" s="23">
        <v>0.4375</v>
      </c>
      <c r="F16" s="13">
        <v>2</v>
      </c>
      <c r="G16" s="11"/>
      <c r="H16" s="22"/>
    </row>
    <row r="17" spans="1:8" x14ac:dyDescent="0.25">
      <c r="A17" s="13">
        <v>2</v>
      </c>
      <c r="B17" s="22">
        <v>44772</v>
      </c>
      <c r="C17" s="13" t="s">
        <v>185</v>
      </c>
      <c r="D17" s="13" t="s">
        <v>187</v>
      </c>
      <c r="E17" s="23">
        <v>0.4375</v>
      </c>
      <c r="F17" s="13"/>
      <c r="G17" s="11"/>
      <c r="H17" s="22"/>
    </row>
    <row r="18" spans="1:8" x14ac:dyDescent="0.25">
      <c r="A18" s="13">
        <v>1</v>
      </c>
      <c r="B18" s="22">
        <v>44738</v>
      </c>
      <c r="C18" s="13" t="s">
        <v>185</v>
      </c>
      <c r="D18" s="13" t="s">
        <v>186</v>
      </c>
      <c r="E18" s="23">
        <v>0.4375</v>
      </c>
      <c r="F18" s="13">
        <v>1</v>
      </c>
      <c r="G18" s="11"/>
      <c r="H18" s="22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C8F33-5B73-4795-A6B3-26418F816417}">
  <sheetPr codeName="wksRoster"/>
  <dimension ref="A1:E32"/>
  <sheetViews>
    <sheetView workbookViewId="0">
      <selection activeCell="D12" sqref="D12"/>
    </sheetView>
  </sheetViews>
  <sheetFormatPr defaultRowHeight="15.75" x14ac:dyDescent="0.25"/>
  <cols>
    <col min="1" max="1" width="10.21875" customWidth="1"/>
    <col min="2" max="2" width="10.6640625" customWidth="1"/>
    <col min="3" max="3" width="10.5546875" customWidth="1"/>
    <col min="4" max="4" width="10.77734375" customWidth="1"/>
    <col min="5" max="5" width="10.21875" customWidth="1"/>
  </cols>
  <sheetData>
    <row r="1" spans="1:5" x14ac:dyDescent="0.25">
      <c r="A1" s="5" t="s">
        <v>28</v>
      </c>
      <c r="B1" s="7">
        <v>15</v>
      </c>
      <c r="C1" s="5" t="s">
        <v>16</v>
      </c>
      <c r="D1" s="28" t="str">
        <f>TEXT(_xlfn.XLOOKUP($B$1,tmMeeting[MTG_No],tmMeeting[日付]),"yyyy/m/d(aaa)")</f>
        <v>2023/8/20(日)</v>
      </c>
      <c r="E1" s="28"/>
    </row>
    <row r="3" spans="1:5" ht="31.5" x14ac:dyDescent="0.25">
      <c r="A3" t="s">
        <v>19</v>
      </c>
      <c r="B3" t="s">
        <v>37</v>
      </c>
      <c r="C3" s="6" t="s">
        <v>55</v>
      </c>
      <c r="D3" t="s">
        <v>56</v>
      </c>
      <c r="E3" t="s">
        <v>20</v>
      </c>
    </row>
    <row r="4" spans="1:5" x14ac:dyDescent="0.25">
      <c r="A4" s="30">
        <v>202201</v>
      </c>
      <c r="B4" s="31" t="s">
        <v>38</v>
      </c>
      <c r="C4" s="32">
        <v>1</v>
      </c>
      <c r="D4" s="31">
        <v>1</v>
      </c>
      <c r="E4" s="31"/>
    </row>
    <row r="5" spans="1:5" x14ac:dyDescent="0.25">
      <c r="A5" s="30">
        <v>202209</v>
      </c>
      <c r="B5" s="31" t="s">
        <v>44</v>
      </c>
      <c r="C5" s="31">
        <v>1</v>
      </c>
      <c r="D5" s="31">
        <v>1</v>
      </c>
      <c r="E5" s="31"/>
    </row>
    <row r="6" spans="1:5" x14ac:dyDescent="0.25">
      <c r="A6" s="30">
        <v>202203</v>
      </c>
      <c r="B6" s="31" t="s">
        <v>47</v>
      </c>
      <c r="C6" s="31">
        <v>1</v>
      </c>
      <c r="D6" s="31">
        <v>1</v>
      </c>
      <c r="E6" s="31"/>
    </row>
    <row r="7" spans="1:5" x14ac:dyDescent="0.25">
      <c r="A7" s="30">
        <v>202204</v>
      </c>
      <c r="B7" s="31" t="s">
        <v>43</v>
      </c>
      <c r="C7" s="31">
        <v>1</v>
      </c>
      <c r="D7" s="31">
        <v>1</v>
      </c>
      <c r="E7" s="31"/>
    </row>
    <row r="8" spans="1:5" x14ac:dyDescent="0.25">
      <c r="A8" s="30">
        <v>202210</v>
      </c>
      <c r="B8" s="31" t="s">
        <v>48</v>
      </c>
      <c r="C8" s="31">
        <v>1</v>
      </c>
      <c r="D8" s="31">
        <v>0</v>
      </c>
      <c r="E8" s="31"/>
    </row>
    <row r="9" spans="1:5" x14ac:dyDescent="0.25">
      <c r="A9" s="30">
        <v>202303</v>
      </c>
      <c r="B9" s="31" t="s">
        <v>162</v>
      </c>
      <c r="C9" s="31">
        <v>1</v>
      </c>
      <c r="D9" s="31">
        <v>1</v>
      </c>
      <c r="E9" s="31"/>
    </row>
    <row r="10" spans="1:5" x14ac:dyDescent="0.25">
      <c r="A10" s="30">
        <v>202304</v>
      </c>
      <c r="B10" s="31" t="s">
        <v>53</v>
      </c>
      <c r="C10" s="31">
        <v>1</v>
      </c>
      <c r="D10" s="31">
        <v>1</v>
      </c>
      <c r="E10" s="31"/>
    </row>
    <row r="11" spans="1:5" x14ac:dyDescent="0.25">
      <c r="A11" s="30">
        <v>202305</v>
      </c>
      <c r="B11" s="31" t="s">
        <v>45</v>
      </c>
      <c r="C11" s="31"/>
      <c r="D11" s="31">
        <v>0</v>
      </c>
      <c r="E11" s="31"/>
    </row>
    <row r="12" spans="1:5" x14ac:dyDescent="0.25">
      <c r="A12" s="30">
        <v>202207</v>
      </c>
      <c r="B12" s="31" t="s">
        <v>42</v>
      </c>
      <c r="C12" s="31">
        <v>1</v>
      </c>
      <c r="D12" s="31">
        <v>0</v>
      </c>
      <c r="E12" s="31"/>
    </row>
    <row r="13" spans="1:5" x14ac:dyDescent="0.25">
      <c r="A13" s="30">
        <v>202214</v>
      </c>
      <c r="B13" s="31" t="s">
        <v>51</v>
      </c>
      <c r="C13" s="31"/>
      <c r="D13" s="31"/>
      <c r="E13" s="31"/>
    </row>
    <row r="14" spans="1:5" x14ac:dyDescent="0.25">
      <c r="A14" s="30">
        <v>202307</v>
      </c>
      <c r="B14" s="31" t="s">
        <v>46</v>
      </c>
      <c r="C14" s="31"/>
      <c r="D14" s="31"/>
      <c r="E14" s="31"/>
    </row>
    <row r="15" spans="1:5" x14ac:dyDescent="0.25">
      <c r="A15" s="30">
        <v>202202</v>
      </c>
      <c r="B15" s="31" t="s">
        <v>67</v>
      </c>
      <c r="C15" s="31"/>
      <c r="D15" s="31"/>
      <c r="E15" s="31"/>
    </row>
    <row r="16" spans="1:5" x14ac:dyDescent="0.25">
      <c r="A16" s="30">
        <v>202205</v>
      </c>
      <c r="B16" s="31" t="s">
        <v>80</v>
      </c>
      <c r="C16" s="31"/>
      <c r="D16" s="31">
        <v>0</v>
      </c>
      <c r="E16" s="31"/>
    </row>
    <row r="17" spans="1:5" x14ac:dyDescent="0.25">
      <c r="A17" s="30">
        <v>202206</v>
      </c>
      <c r="B17" s="31" t="s">
        <v>85</v>
      </c>
      <c r="C17" s="31"/>
      <c r="D17" s="31"/>
      <c r="E17" s="31"/>
    </row>
    <row r="18" spans="1:5" x14ac:dyDescent="0.25">
      <c r="A18" s="30">
        <v>202208</v>
      </c>
      <c r="B18" s="31" t="s">
        <v>39</v>
      </c>
      <c r="C18" s="31"/>
      <c r="D18" s="31"/>
      <c r="E18" s="31"/>
    </row>
    <row r="19" spans="1:5" x14ac:dyDescent="0.25">
      <c r="A19" s="30">
        <v>202211</v>
      </c>
      <c r="B19" s="31" t="s">
        <v>49</v>
      </c>
      <c r="C19" s="31">
        <v>0.5</v>
      </c>
      <c r="D19" s="31">
        <v>0.5</v>
      </c>
      <c r="E19" s="31"/>
    </row>
    <row r="20" spans="1:5" x14ac:dyDescent="0.25">
      <c r="A20" s="30">
        <v>202212</v>
      </c>
      <c r="B20" s="31" t="s">
        <v>110</v>
      </c>
      <c r="C20" s="31"/>
      <c r="D20" s="31"/>
      <c r="E20" s="31"/>
    </row>
    <row r="21" spans="1:5" x14ac:dyDescent="0.25">
      <c r="A21" s="30">
        <v>202213</v>
      </c>
      <c r="B21" s="31" t="s">
        <v>115</v>
      </c>
      <c r="C21" s="31"/>
      <c r="D21" s="31"/>
      <c r="E21" s="31"/>
    </row>
    <row r="22" spans="1:5" x14ac:dyDescent="0.25">
      <c r="A22" s="30">
        <v>202215</v>
      </c>
      <c r="B22" s="31" t="s">
        <v>40</v>
      </c>
      <c r="C22" s="31">
        <v>0.5</v>
      </c>
      <c r="D22" s="31">
        <v>0.5</v>
      </c>
      <c r="E22" s="31"/>
    </row>
    <row r="23" spans="1:5" x14ac:dyDescent="0.25">
      <c r="A23" s="30">
        <v>202216</v>
      </c>
      <c r="B23" s="31" t="s">
        <v>128</v>
      </c>
      <c r="C23" s="31"/>
      <c r="D23" s="31"/>
      <c r="E23" s="31"/>
    </row>
    <row r="24" spans="1:5" x14ac:dyDescent="0.25">
      <c r="A24" s="30">
        <v>202217</v>
      </c>
      <c r="B24" s="31" t="s">
        <v>133</v>
      </c>
      <c r="C24" s="31"/>
      <c r="D24" s="31"/>
      <c r="E24" s="31"/>
    </row>
    <row r="25" spans="1:5" x14ac:dyDescent="0.25">
      <c r="A25" s="30">
        <v>202218</v>
      </c>
      <c r="B25" s="31" t="s">
        <v>137</v>
      </c>
      <c r="C25" s="31"/>
      <c r="D25" s="31"/>
      <c r="E25" s="31"/>
    </row>
    <row r="26" spans="1:5" x14ac:dyDescent="0.25">
      <c r="A26" s="30">
        <v>202219</v>
      </c>
      <c r="B26" s="31" t="s">
        <v>41</v>
      </c>
      <c r="C26" s="31"/>
      <c r="D26" s="31"/>
      <c r="E26" s="31"/>
    </row>
    <row r="27" spans="1:5" x14ac:dyDescent="0.25">
      <c r="A27" s="30">
        <v>202220</v>
      </c>
      <c r="B27" s="31" t="s">
        <v>144</v>
      </c>
      <c r="C27" s="31"/>
      <c r="D27" s="31"/>
      <c r="E27" s="31"/>
    </row>
    <row r="28" spans="1:5" x14ac:dyDescent="0.25">
      <c r="A28" s="30">
        <v>202221</v>
      </c>
      <c r="B28" s="31" t="s">
        <v>149</v>
      </c>
      <c r="C28" s="31"/>
      <c r="D28" s="31"/>
      <c r="E28" s="31"/>
    </row>
    <row r="29" spans="1:5" x14ac:dyDescent="0.25">
      <c r="A29" s="30">
        <v>202301</v>
      </c>
      <c r="B29" s="31" t="s">
        <v>52</v>
      </c>
      <c r="C29" s="31">
        <v>1</v>
      </c>
      <c r="D29" s="31">
        <v>0</v>
      </c>
      <c r="E29" s="31"/>
    </row>
    <row r="30" spans="1:5" x14ac:dyDescent="0.25">
      <c r="A30" s="30">
        <v>202302</v>
      </c>
      <c r="B30" s="31" t="s">
        <v>157</v>
      </c>
      <c r="C30" s="31"/>
      <c r="D30" s="31"/>
      <c r="E30" s="31"/>
    </row>
    <row r="31" spans="1:5" x14ac:dyDescent="0.25">
      <c r="A31" s="30">
        <v>202306</v>
      </c>
      <c r="B31" s="31" t="s">
        <v>50</v>
      </c>
      <c r="C31" s="31"/>
      <c r="D31" s="31"/>
      <c r="E31" s="31"/>
    </row>
    <row r="32" spans="1:5" x14ac:dyDescent="0.25">
      <c r="A32" s="30">
        <v>202308</v>
      </c>
      <c r="B32" s="31" t="s">
        <v>184</v>
      </c>
      <c r="C32" s="31"/>
      <c r="D32" s="31"/>
      <c r="E32" s="31"/>
    </row>
  </sheetData>
  <mergeCells count="1">
    <mergeCell ref="D1:E1"/>
  </mergeCells>
  <phoneticPr fontId="2"/>
  <dataValidations count="1">
    <dataValidation type="list" allowBlank="1" showInputMessage="1" showErrorMessage="1" sqref="B4:B32" xr:uid="{8C573A6C-BCA6-40F2-99D4-4F8D9BE80DBF}">
      <formula1>INDIRECT("mMember[氏名]")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B3E70-4FE2-4E23-A7A6-BF338F34F22A}">
  <sheetPr codeName="Sheet8"/>
  <dimension ref="A1:G13"/>
  <sheetViews>
    <sheetView workbookViewId="0">
      <selection activeCell="E17" sqref="E17"/>
    </sheetView>
  </sheetViews>
  <sheetFormatPr defaultRowHeight="15.75" x14ac:dyDescent="0.25"/>
  <cols>
    <col min="2" max="2" width="9.88671875" customWidth="1"/>
    <col min="3" max="3" width="10.77734375" customWidth="1"/>
    <col min="4" max="4" width="6" bestFit="1" customWidth="1"/>
  </cols>
  <sheetData>
    <row r="1" spans="1:7" x14ac:dyDescent="0.25">
      <c r="A1" t="s">
        <v>32</v>
      </c>
      <c r="B1" t="s">
        <v>28</v>
      </c>
      <c r="C1" t="s">
        <v>16</v>
      </c>
      <c r="D1" t="s">
        <v>31</v>
      </c>
      <c r="E1" t="s">
        <v>29</v>
      </c>
      <c r="F1" t="s">
        <v>15</v>
      </c>
      <c r="G1" t="s">
        <v>30</v>
      </c>
    </row>
    <row r="2" spans="1:7" x14ac:dyDescent="0.25">
      <c r="A2" s="13">
        <v>9</v>
      </c>
      <c r="B2" s="13">
        <v>15</v>
      </c>
      <c r="C2" s="22">
        <v>45157</v>
      </c>
      <c r="D2" s="22" t="s">
        <v>193</v>
      </c>
      <c r="E2" s="13"/>
      <c r="F2" s="13"/>
      <c r="G2" s="13"/>
    </row>
    <row r="3" spans="1:7" x14ac:dyDescent="0.25">
      <c r="A3" s="13">
        <v>10</v>
      </c>
      <c r="B3" s="13">
        <v>15</v>
      </c>
      <c r="C3" s="22">
        <v>45158</v>
      </c>
      <c r="D3" s="22" t="s">
        <v>192</v>
      </c>
      <c r="E3" s="13"/>
      <c r="F3" s="13"/>
      <c r="G3" s="13"/>
    </row>
    <row r="4" spans="1:7" x14ac:dyDescent="0.25">
      <c r="A4" s="13">
        <v>11</v>
      </c>
      <c r="B4" s="13">
        <v>15</v>
      </c>
      <c r="C4" s="22">
        <v>45165</v>
      </c>
      <c r="D4" s="22" t="s">
        <v>192</v>
      </c>
      <c r="E4" s="13"/>
      <c r="F4" s="13"/>
      <c r="G4" s="13"/>
    </row>
    <row r="5" spans="1:7" x14ac:dyDescent="0.25">
      <c r="A5" s="13">
        <v>12</v>
      </c>
      <c r="B5" s="13">
        <v>16</v>
      </c>
      <c r="C5" s="22">
        <v>45179</v>
      </c>
      <c r="D5" s="22" t="s">
        <v>192</v>
      </c>
      <c r="E5" s="13"/>
      <c r="F5" s="13"/>
      <c r="G5" s="13"/>
    </row>
    <row r="6" spans="1:7" x14ac:dyDescent="0.25">
      <c r="A6" s="13">
        <v>13</v>
      </c>
      <c r="B6" s="13">
        <v>16</v>
      </c>
      <c r="C6" s="22">
        <v>45192</v>
      </c>
      <c r="D6" s="22" t="s">
        <v>193</v>
      </c>
      <c r="E6" s="13"/>
      <c r="F6" s="13"/>
      <c r="G6" s="13"/>
    </row>
    <row r="7" spans="1:7" x14ac:dyDescent="0.25">
      <c r="A7" s="13">
        <v>14</v>
      </c>
      <c r="B7" s="13">
        <v>16</v>
      </c>
      <c r="C7" s="22">
        <v>45193</v>
      </c>
      <c r="D7" s="22" t="s">
        <v>192</v>
      </c>
      <c r="E7" s="13"/>
      <c r="F7" s="13"/>
      <c r="G7" s="13"/>
    </row>
    <row r="8" spans="1:7" x14ac:dyDescent="0.25">
      <c r="A8" s="13">
        <v>15</v>
      </c>
      <c r="B8" s="13">
        <v>17</v>
      </c>
      <c r="C8" s="22">
        <v>45206</v>
      </c>
      <c r="D8" s="22" t="s">
        <v>193</v>
      </c>
      <c r="E8" s="13"/>
      <c r="F8" s="13"/>
      <c r="G8" s="13"/>
    </row>
    <row r="9" spans="1:7" x14ac:dyDescent="0.25">
      <c r="A9" s="13">
        <v>16</v>
      </c>
      <c r="B9" s="13">
        <v>17</v>
      </c>
      <c r="C9" s="22">
        <v>45207</v>
      </c>
      <c r="D9" s="22" t="s">
        <v>192</v>
      </c>
      <c r="E9" s="13"/>
      <c r="F9" s="13"/>
      <c r="G9" s="13"/>
    </row>
    <row r="10" spans="1:7" x14ac:dyDescent="0.25">
      <c r="A10" s="13">
        <v>17</v>
      </c>
      <c r="B10" s="13">
        <v>17</v>
      </c>
      <c r="C10" s="22">
        <v>45213</v>
      </c>
      <c r="D10" s="22" t="s">
        <v>193</v>
      </c>
      <c r="E10" s="13"/>
      <c r="F10" s="13"/>
      <c r="G10" s="13"/>
    </row>
    <row r="11" spans="1:7" x14ac:dyDescent="0.25">
      <c r="A11" s="13">
        <v>18</v>
      </c>
      <c r="B11" s="13">
        <v>17</v>
      </c>
      <c r="C11" s="22">
        <v>45214</v>
      </c>
      <c r="D11" s="22" t="s">
        <v>192</v>
      </c>
      <c r="E11" s="13"/>
      <c r="F11" s="13"/>
      <c r="G11" s="13"/>
    </row>
    <row r="12" spans="1:7" x14ac:dyDescent="0.25">
      <c r="A12" s="13">
        <v>19</v>
      </c>
      <c r="B12" s="13">
        <v>17</v>
      </c>
      <c r="C12" s="22">
        <v>45220</v>
      </c>
      <c r="D12" s="22" t="s">
        <v>193</v>
      </c>
      <c r="E12" s="13"/>
      <c r="F12" s="13"/>
      <c r="G12" s="13"/>
    </row>
    <row r="13" spans="1:7" x14ac:dyDescent="0.25">
      <c r="A13" s="13">
        <v>20</v>
      </c>
      <c r="B13" s="13">
        <v>17</v>
      </c>
      <c r="C13" s="22">
        <v>45221</v>
      </c>
      <c r="D13" s="22" t="s">
        <v>192</v>
      </c>
      <c r="E13" s="13"/>
      <c r="F13" s="13"/>
      <c r="G13" s="13"/>
    </row>
  </sheetData>
  <phoneticPr fontId="2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D6975-7D14-4A1F-947A-2E991BB6DEEA}">
  <sheetPr codeName="wksMtgDatePick"/>
  <dimension ref="A1:Q27"/>
  <sheetViews>
    <sheetView workbookViewId="0">
      <selection activeCell="G15" sqref="G15"/>
    </sheetView>
  </sheetViews>
  <sheetFormatPr defaultRowHeight="15.75" x14ac:dyDescent="0.25"/>
  <cols>
    <col min="1" max="1" width="9.88671875" customWidth="1"/>
    <col min="3" max="3" width="10.77734375" customWidth="1"/>
    <col min="4" max="4" width="12.5546875" customWidth="1"/>
    <col min="5" max="5" width="9.21875" bestFit="1" customWidth="1"/>
    <col min="6" max="6" width="9.77734375" customWidth="1"/>
    <col min="10" max="10" width="12.88671875" bestFit="1" customWidth="1"/>
    <col min="11" max="11" width="8.33203125" bestFit="1" customWidth="1"/>
    <col min="12" max="12" width="5.21875" bestFit="1" customWidth="1"/>
    <col min="13" max="16" width="6.33203125" bestFit="1" customWidth="1"/>
    <col min="17" max="17" width="4.21875" bestFit="1" customWidth="1"/>
  </cols>
  <sheetData>
    <row r="1" spans="1:17" x14ac:dyDescent="0.25">
      <c r="A1" s="5" t="s">
        <v>28</v>
      </c>
      <c r="B1" s="7">
        <v>17</v>
      </c>
      <c r="C1" s="5" t="s">
        <v>54</v>
      </c>
      <c r="D1" s="12" t="str">
        <f>TEXT(_xlfn.XLOOKUP($B$1,tmMeeting[MTG_No],tmMeeting[日付]),"yyyy-mm")</f>
        <v>2023-10</v>
      </c>
    </row>
    <row r="2" spans="1:17" ht="17.850000000000001" customHeight="1" x14ac:dyDescent="0.25">
      <c r="A2" s="4"/>
      <c r="D2" s="3"/>
    </row>
    <row r="3" spans="1:17" x14ac:dyDescent="0.25">
      <c r="A3" t="s">
        <v>32</v>
      </c>
      <c r="B3" t="s">
        <v>16</v>
      </c>
      <c r="C3" t="s">
        <v>34</v>
      </c>
      <c r="D3" t="s">
        <v>33</v>
      </c>
      <c r="E3" t="s">
        <v>35</v>
      </c>
      <c r="J3" s="14" t="s">
        <v>197</v>
      </c>
      <c r="K3" s="14" t="s">
        <v>198</v>
      </c>
    </row>
    <row r="4" spans="1:17" x14ac:dyDescent="0.25">
      <c r="A4" s="13">
        <v>15</v>
      </c>
      <c r="B4" s="21">
        <v>45206</v>
      </c>
      <c r="C4" s="13">
        <v>202201</v>
      </c>
      <c r="D4" s="13" t="s">
        <v>38</v>
      </c>
      <c r="E4" s="13">
        <v>1</v>
      </c>
      <c r="J4" s="14" t="s">
        <v>195</v>
      </c>
      <c r="K4" s="15">
        <v>45206</v>
      </c>
      <c r="L4" s="15">
        <v>45207</v>
      </c>
      <c r="M4" s="15">
        <v>45213</v>
      </c>
      <c r="N4" s="15">
        <v>45214</v>
      </c>
      <c r="O4" s="15">
        <v>45220</v>
      </c>
      <c r="P4" s="15">
        <v>45221</v>
      </c>
      <c r="Q4" s="15" t="s">
        <v>196</v>
      </c>
    </row>
    <row r="5" spans="1:17" x14ac:dyDescent="0.25">
      <c r="A5" s="13">
        <v>15</v>
      </c>
      <c r="B5" s="21">
        <v>45206</v>
      </c>
      <c r="C5" s="13">
        <v>202204</v>
      </c>
      <c r="D5" s="13" t="s">
        <v>43</v>
      </c>
      <c r="E5" s="13">
        <v>0.5</v>
      </c>
      <c r="J5" s="16" t="s">
        <v>43</v>
      </c>
      <c r="K5">
        <v>0.5</v>
      </c>
      <c r="L5">
        <v>0</v>
      </c>
      <c r="M5">
        <v>1</v>
      </c>
      <c r="N5">
        <v>1</v>
      </c>
      <c r="O5">
        <v>1</v>
      </c>
      <c r="P5">
        <v>1</v>
      </c>
      <c r="Q5">
        <v>4.5</v>
      </c>
    </row>
    <row r="6" spans="1:17" x14ac:dyDescent="0.25">
      <c r="A6" s="13">
        <v>15</v>
      </c>
      <c r="B6" s="21">
        <v>45206</v>
      </c>
      <c r="C6" s="13">
        <v>202210</v>
      </c>
      <c r="D6" s="13" t="s">
        <v>48</v>
      </c>
      <c r="E6" s="13">
        <v>1</v>
      </c>
      <c r="J6" s="16" t="s">
        <v>38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6</v>
      </c>
    </row>
    <row r="7" spans="1:17" x14ac:dyDescent="0.25">
      <c r="A7" s="13">
        <v>15</v>
      </c>
      <c r="B7" s="21">
        <v>45206</v>
      </c>
      <c r="C7" s="13">
        <v>202211</v>
      </c>
      <c r="D7" s="13" t="s">
        <v>49</v>
      </c>
      <c r="E7" s="13">
        <v>0.5</v>
      </c>
      <c r="J7" s="16" t="s">
        <v>49</v>
      </c>
      <c r="K7">
        <v>0.5</v>
      </c>
      <c r="L7">
        <v>0.5</v>
      </c>
      <c r="M7">
        <v>0</v>
      </c>
      <c r="N7">
        <v>0</v>
      </c>
      <c r="O7">
        <v>0</v>
      </c>
      <c r="P7">
        <v>0.5</v>
      </c>
      <c r="Q7">
        <v>1.5</v>
      </c>
    </row>
    <row r="8" spans="1:17" x14ac:dyDescent="0.25">
      <c r="A8" s="13">
        <v>16</v>
      </c>
      <c r="B8" s="21">
        <v>45207</v>
      </c>
      <c r="C8" s="13">
        <v>202201</v>
      </c>
      <c r="D8" s="13" t="s">
        <v>38</v>
      </c>
      <c r="E8" s="13">
        <v>1</v>
      </c>
      <c r="J8" s="16" t="s">
        <v>48</v>
      </c>
      <c r="K8">
        <v>1</v>
      </c>
      <c r="L8">
        <v>0.5</v>
      </c>
      <c r="M8">
        <v>0</v>
      </c>
      <c r="N8">
        <v>0</v>
      </c>
      <c r="O8">
        <v>1</v>
      </c>
      <c r="P8">
        <v>0.5</v>
      </c>
      <c r="Q8">
        <v>3</v>
      </c>
    </row>
    <row r="9" spans="1:17" x14ac:dyDescent="0.25">
      <c r="A9" s="13">
        <v>16</v>
      </c>
      <c r="B9" s="21">
        <v>45207</v>
      </c>
      <c r="C9" s="13">
        <v>202204</v>
      </c>
      <c r="D9" s="13" t="s">
        <v>43</v>
      </c>
      <c r="E9" s="13">
        <v>0</v>
      </c>
      <c r="J9" s="16" t="s">
        <v>196</v>
      </c>
      <c r="K9">
        <v>3</v>
      </c>
      <c r="L9">
        <v>2</v>
      </c>
      <c r="M9">
        <v>2</v>
      </c>
      <c r="N9">
        <v>2</v>
      </c>
      <c r="O9">
        <v>3</v>
      </c>
      <c r="P9">
        <v>3</v>
      </c>
      <c r="Q9">
        <v>15</v>
      </c>
    </row>
    <row r="10" spans="1:17" x14ac:dyDescent="0.25">
      <c r="A10" s="13">
        <v>16</v>
      </c>
      <c r="B10" s="21">
        <v>45207</v>
      </c>
      <c r="C10" s="13">
        <v>202210</v>
      </c>
      <c r="D10" s="13" t="s">
        <v>48</v>
      </c>
      <c r="E10" s="13">
        <v>0.5</v>
      </c>
    </row>
    <row r="11" spans="1:17" x14ac:dyDescent="0.25">
      <c r="A11" s="13">
        <v>16</v>
      </c>
      <c r="B11" s="21">
        <v>45207</v>
      </c>
      <c r="C11" s="13">
        <v>202211</v>
      </c>
      <c r="D11" s="13" t="s">
        <v>49</v>
      </c>
      <c r="E11" s="13">
        <v>0.5</v>
      </c>
    </row>
    <row r="12" spans="1:17" x14ac:dyDescent="0.25">
      <c r="A12" s="13">
        <v>17</v>
      </c>
      <c r="B12" s="21">
        <v>45213</v>
      </c>
      <c r="C12" s="13">
        <v>202201</v>
      </c>
      <c r="D12" s="13" t="s">
        <v>38</v>
      </c>
      <c r="E12" s="13">
        <v>1</v>
      </c>
    </row>
    <row r="13" spans="1:17" x14ac:dyDescent="0.25">
      <c r="A13" s="13">
        <v>17</v>
      </c>
      <c r="B13" s="21">
        <v>45213</v>
      </c>
      <c r="C13" s="13">
        <v>202204</v>
      </c>
      <c r="D13" s="13" t="s">
        <v>43</v>
      </c>
      <c r="E13" s="13">
        <v>1</v>
      </c>
    </row>
    <row r="14" spans="1:17" x14ac:dyDescent="0.25">
      <c r="A14" s="13">
        <v>17</v>
      </c>
      <c r="B14" s="21">
        <v>45213</v>
      </c>
      <c r="C14" s="13">
        <v>202210</v>
      </c>
      <c r="D14" s="13" t="s">
        <v>48</v>
      </c>
      <c r="E14" s="13">
        <v>0</v>
      </c>
    </row>
    <row r="15" spans="1:17" x14ac:dyDescent="0.25">
      <c r="A15" s="13">
        <v>17</v>
      </c>
      <c r="B15" s="21">
        <v>45213</v>
      </c>
      <c r="C15" s="13">
        <v>202211</v>
      </c>
      <c r="D15" s="13" t="s">
        <v>49</v>
      </c>
      <c r="E15" s="13">
        <v>0</v>
      </c>
    </row>
    <row r="16" spans="1:17" x14ac:dyDescent="0.25">
      <c r="A16" s="13">
        <v>18</v>
      </c>
      <c r="B16" s="21">
        <v>45214</v>
      </c>
      <c r="C16" s="13">
        <v>202201</v>
      </c>
      <c r="D16" s="13" t="s">
        <v>38</v>
      </c>
      <c r="E16" s="13">
        <v>1</v>
      </c>
    </row>
    <row r="17" spans="1:5" x14ac:dyDescent="0.25">
      <c r="A17" s="13">
        <v>18</v>
      </c>
      <c r="B17" s="21">
        <v>45214</v>
      </c>
      <c r="C17" s="13">
        <v>202204</v>
      </c>
      <c r="D17" s="13" t="s">
        <v>43</v>
      </c>
      <c r="E17" s="13">
        <v>1</v>
      </c>
    </row>
    <row r="18" spans="1:5" x14ac:dyDescent="0.25">
      <c r="A18" s="13">
        <v>18</v>
      </c>
      <c r="B18" s="21">
        <v>45214</v>
      </c>
      <c r="C18" s="13">
        <v>202210</v>
      </c>
      <c r="D18" s="13" t="s">
        <v>48</v>
      </c>
      <c r="E18" s="13">
        <v>0</v>
      </c>
    </row>
    <row r="19" spans="1:5" x14ac:dyDescent="0.25">
      <c r="A19" s="13">
        <v>18</v>
      </c>
      <c r="B19" s="21">
        <v>45214</v>
      </c>
      <c r="C19" s="13">
        <v>202211</v>
      </c>
      <c r="D19" s="13" t="s">
        <v>49</v>
      </c>
      <c r="E19" s="13">
        <v>0</v>
      </c>
    </row>
    <row r="20" spans="1:5" x14ac:dyDescent="0.25">
      <c r="A20" s="13">
        <v>19</v>
      </c>
      <c r="B20" s="21">
        <v>45220</v>
      </c>
      <c r="C20" s="13">
        <v>202201</v>
      </c>
      <c r="D20" s="13" t="s">
        <v>38</v>
      </c>
      <c r="E20" s="13">
        <v>1</v>
      </c>
    </row>
    <row r="21" spans="1:5" x14ac:dyDescent="0.25">
      <c r="A21" s="13">
        <v>19</v>
      </c>
      <c r="B21" s="21">
        <v>45220</v>
      </c>
      <c r="C21" s="13">
        <v>202204</v>
      </c>
      <c r="D21" s="13" t="s">
        <v>43</v>
      </c>
      <c r="E21" s="13">
        <v>1</v>
      </c>
    </row>
    <row r="22" spans="1:5" x14ac:dyDescent="0.25">
      <c r="A22" s="13">
        <v>19</v>
      </c>
      <c r="B22" s="21">
        <v>45220</v>
      </c>
      <c r="C22" s="13">
        <v>202210</v>
      </c>
      <c r="D22" s="13" t="s">
        <v>48</v>
      </c>
      <c r="E22" s="13">
        <v>1</v>
      </c>
    </row>
    <row r="23" spans="1:5" x14ac:dyDescent="0.25">
      <c r="A23" s="13">
        <v>19</v>
      </c>
      <c r="B23" s="21">
        <v>45220</v>
      </c>
      <c r="C23" s="13">
        <v>202211</v>
      </c>
      <c r="D23" s="13" t="s">
        <v>49</v>
      </c>
      <c r="E23" s="13">
        <v>0</v>
      </c>
    </row>
    <row r="24" spans="1:5" x14ac:dyDescent="0.25">
      <c r="A24" s="13">
        <v>20</v>
      </c>
      <c r="B24" s="21">
        <v>45221</v>
      </c>
      <c r="C24" s="13">
        <v>202201</v>
      </c>
      <c r="D24" s="13" t="s">
        <v>38</v>
      </c>
      <c r="E24" s="13">
        <v>1</v>
      </c>
    </row>
    <row r="25" spans="1:5" x14ac:dyDescent="0.25">
      <c r="A25" s="13">
        <v>20</v>
      </c>
      <c r="B25" s="21">
        <v>45221</v>
      </c>
      <c r="C25" s="13">
        <v>202204</v>
      </c>
      <c r="D25" s="13" t="s">
        <v>43</v>
      </c>
      <c r="E25" s="13">
        <v>1</v>
      </c>
    </row>
    <row r="26" spans="1:5" x14ac:dyDescent="0.25">
      <c r="A26" s="13">
        <v>20</v>
      </c>
      <c r="B26" s="21">
        <v>45221</v>
      </c>
      <c r="C26" s="13">
        <v>202210</v>
      </c>
      <c r="D26" s="13" t="s">
        <v>48</v>
      </c>
      <c r="E26" s="13">
        <v>0.5</v>
      </c>
    </row>
    <row r="27" spans="1:5" x14ac:dyDescent="0.25">
      <c r="A27" s="13">
        <v>20</v>
      </c>
      <c r="B27" s="21">
        <v>45221</v>
      </c>
      <c r="C27" s="13">
        <v>202211</v>
      </c>
      <c r="D27" s="13" t="s">
        <v>49</v>
      </c>
      <c r="E27" s="13">
        <v>0.5</v>
      </c>
    </row>
  </sheetData>
  <phoneticPr fontId="2"/>
  <dataValidations count="1">
    <dataValidation type="list" allowBlank="1" showInputMessage="1" showErrorMessage="1" sqref="D4:D27" xr:uid="{E4041AD8-1987-4304-8C04-965CB5D72972}">
      <formula1>INDIRECT("mMember[氏名]")</formula1>
    </dataValidation>
  </dataValidations>
  <pageMargins left="0.7" right="0.7" top="0.75" bottom="0.75" header="0.3" footer="0.3"/>
  <pageSetup paperSize="9" orientation="portrait" r:id="rId2"/>
  <drawing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4650A-0891-4396-A418-61BEFDB99B68}">
  <sheetPr codeName="wksDatePickEntry"/>
  <dimension ref="A1:D5"/>
  <sheetViews>
    <sheetView workbookViewId="0">
      <selection activeCell="I20" sqref="I20"/>
    </sheetView>
  </sheetViews>
  <sheetFormatPr defaultRowHeight="15.75" x14ac:dyDescent="0.25"/>
  <cols>
    <col min="1" max="1" width="10.88671875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17</v>
      </c>
      <c r="C1" s="5" t="s">
        <v>54</v>
      </c>
      <c r="D1" s="12" t="str">
        <f>TEXT(_xlfn.XLOOKUP($B$1,tmMeeting[MTG_No],tmMeeting[日付]),"yyyy-mm")</f>
        <v>2023-10</v>
      </c>
    </row>
    <row r="2" spans="1:4" ht="17.850000000000001" customHeight="1" x14ac:dyDescent="0.25">
      <c r="A2" s="5" t="s">
        <v>16</v>
      </c>
      <c r="B2" s="18"/>
      <c r="C2" s="19" t="e">
        <f>_xlfn.XLOOKUP(DateEntry,tmMtgDateNom[日付],tmMtgDateNom[NomID])</f>
        <v>#N/A</v>
      </c>
      <c r="D2" s="7"/>
    </row>
    <row r="3" spans="1:4" ht="17.850000000000001" customHeight="1" x14ac:dyDescent="0.25">
      <c r="A3" s="4"/>
      <c r="D3" s="3"/>
    </row>
    <row r="4" spans="1:4" x14ac:dyDescent="0.25">
      <c r="A4" t="s">
        <v>33</v>
      </c>
      <c r="B4" t="s">
        <v>35</v>
      </c>
    </row>
    <row r="5" spans="1:4" x14ac:dyDescent="0.25">
      <c r="A5" s="17"/>
      <c r="B5" s="13"/>
    </row>
  </sheetData>
  <phoneticPr fontId="2"/>
  <dataValidations count="3">
    <dataValidation type="list" allowBlank="1" showInputMessage="1" showErrorMessage="1" sqref="B5" xr:uid="{046E6D8C-DC69-42BF-9A8D-3AC6BEF98DFC}">
      <formula1>"0,0.5,1"</formula1>
    </dataValidation>
    <dataValidation type="list" allowBlank="1" showInputMessage="1" showErrorMessage="1" sqref="A5" xr:uid="{747EE1E8-FAE6-41D6-A682-7781D415D472}">
      <formula1>"岩尾 朝央,伊藤 琢司,澤田 大成,上田 英貴,中安 言,大塚 貴行,玉井 宏明,田窪 正則,中林 徹,池澤 政俊,尾崎 伸弥,鶴崎 博,久保 貴史,平山 達也,森 潔,赤羽 聡,大嶋 亨一,草地 祐樹,佐久間 雄介,高橋 良介,米田 和央,里中 智哉,庄司 淳,中澤 祐介,山際 淳,古田 紗良,篠ヶ瀬 将之,佐竹 良太,足立 陽介"</formula1>
    </dataValidation>
    <dataValidation type="list" allowBlank="1" showInputMessage="1" showErrorMessage="1" sqref="B2" xr:uid="{67684EE1-19F6-4A0D-A030-7C585AAFCCF3}">
      <formula1>"R5.9.10,R5.9.23,R5.9.24"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B697-81F2-4D44-B32E-4C8B2737F98D}">
  <sheetPr codeName="xwksDatePickEntry"/>
  <dimension ref="A1:D5"/>
  <sheetViews>
    <sheetView workbookViewId="0">
      <selection activeCell="M23" sqref="L23:M23"/>
    </sheetView>
  </sheetViews>
  <sheetFormatPr defaultRowHeight="15.75" x14ac:dyDescent="0.25"/>
  <cols>
    <col min="1" max="1" width="8.88671875" bestFit="1" customWidth="1"/>
    <col min="2" max="2" width="9.44140625" customWidth="1"/>
    <col min="3" max="3" width="9.21875" bestFit="1" customWidth="1"/>
    <col min="4" max="4" width="12.5546875" customWidth="1"/>
    <col min="5" max="5" width="12.77734375" customWidth="1"/>
    <col min="6" max="6" width="9.77734375" customWidth="1"/>
  </cols>
  <sheetData>
    <row r="1" spans="1:4" x14ac:dyDescent="0.25">
      <c r="A1" s="5" t="s">
        <v>28</v>
      </c>
      <c r="B1" s="7">
        <f>MTG_No_DatePick</f>
        <v>17</v>
      </c>
      <c r="C1" s="5" t="s">
        <v>54</v>
      </c>
      <c r="D1" s="12" t="str">
        <f>TEXT(_xlfn.XLOOKUP($B$1,tmMeeting[MTG_No],tmMeeting[日付]),"yyyy-mm")</f>
        <v>2023-10</v>
      </c>
    </row>
    <row r="2" spans="1:4" ht="17.850000000000001" customHeight="1" x14ac:dyDescent="0.25">
      <c r="A2" s="5" t="s">
        <v>33</v>
      </c>
      <c r="B2" s="29"/>
      <c r="C2" s="29"/>
      <c r="D2" s="29"/>
    </row>
    <row r="3" spans="1:4" ht="17.850000000000001" customHeight="1" x14ac:dyDescent="0.25">
      <c r="A3" s="4"/>
      <c r="D3" s="3"/>
    </row>
    <row r="4" spans="1:4" x14ac:dyDescent="0.25">
      <c r="A4" t="s">
        <v>32</v>
      </c>
      <c r="B4" t="s">
        <v>16</v>
      </c>
      <c r="C4" t="s">
        <v>35</v>
      </c>
    </row>
    <row r="5" spans="1:4" x14ac:dyDescent="0.25">
      <c r="A5" s="13"/>
      <c r="B5" s="17"/>
      <c r="C5" s="13"/>
    </row>
  </sheetData>
  <mergeCells count="1">
    <mergeCell ref="B2:D2"/>
  </mergeCells>
  <phoneticPr fontId="2"/>
  <dataValidations count="2">
    <dataValidation type="list" allowBlank="1" showInputMessage="1" showErrorMessage="1" sqref="C4:C5" xr:uid="{ED0105AF-E55E-4C49-AC6F-B0BDC998A9B5}">
      <formula1>"0,0.5,1"</formula1>
    </dataValidation>
    <dataValidation type="list" allowBlank="1" showInputMessage="1" showErrorMessage="1" sqref="B2" xr:uid="{90ED7392-4DF5-4034-8D47-52CB9A1A2596}">
      <formula1>"岩尾 朝央,伊藤 琢司,中安 言,澤田 大成,大塚 貴行,玉井 宏明,田窪 正則,中林 徹,鶴崎 博,池澤 政俊,久保 貴史,上田 英貴,平山 達也,尾崎 伸弥,森 潔,赤羽 聡,大嶋 亨一,草地 祐樹,佐久間 雄介,高橋 良介,米田 和央,里中 智哉,庄司 淳,中澤 祐介,山際 淳,古田 紗良,篠ヶ瀬 将之,佐竹 良太,足立 陽介"</formula1>
    </dataValidation>
  </dataValidations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7</vt:i4>
      </vt:variant>
    </vt:vector>
  </HeadingPairs>
  <TitlesOfParts>
    <vt:vector size="16" baseType="lpstr">
      <vt:lpstr>Sheet1</vt:lpstr>
      <vt:lpstr>Home</vt:lpstr>
      <vt:lpstr>mMember</vt:lpstr>
      <vt:lpstr>tmMeeting</vt:lpstr>
      <vt:lpstr>tRoster</vt:lpstr>
      <vt:lpstr>tmMtgDateNom</vt:lpstr>
      <vt:lpstr>tMtgDatePick</vt:lpstr>
      <vt:lpstr>tMtgDatePickEntry_d</vt:lpstr>
      <vt:lpstr>tMtgDatePickEntry_p</vt:lpstr>
      <vt:lpstr>DateEntry</vt:lpstr>
      <vt:lpstr>EntryNomID</vt:lpstr>
      <vt:lpstr>MTG_No_DatePick</vt:lpstr>
      <vt:lpstr>NameEntry</vt:lpstr>
      <vt:lpstr>nextMtgDate</vt:lpstr>
      <vt:lpstr>nextMtgNo</vt:lpstr>
      <vt:lpstr>RosterMtgNo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TIwao</dc:creator>
  <cp:lastModifiedBy>TIwao</cp:lastModifiedBy>
  <dcterms:created xsi:type="dcterms:W3CDTF">2023-06-25T08:41:25Z</dcterms:created>
  <dcterms:modified xsi:type="dcterms:W3CDTF">2023-08-19T04:58:01Z</dcterms:modified>
</cp:coreProperties>
</file>