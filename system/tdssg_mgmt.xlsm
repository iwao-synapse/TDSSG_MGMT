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3FFD778F-F22D-40E1-9087-2F1336D4243A}" xr6:coauthVersionLast="47" xr6:coauthVersionMax="47" xr10:uidLastSave="{00000000-0000-0000-0000-000000000000}"/>
  <bookViews>
    <workbookView xWindow="-120" yWindow="-120" windowWidth="29040" windowHeight="15720" tabRatio="894" firstSheet="1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2306" sheetId="4" r:id="rId5"/>
    <sheet name="tRoster2307" sheetId="5" r:id="rId6"/>
    <sheet name="tRoster2308" sheetId="6" r:id="rId7"/>
    <sheet name="tRoster2309" sheetId="7" r:id="rId8"/>
    <sheet name="tmMtgDateNom" sheetId="8" r:id="rId9"/>
    <sheet name="tMtgDatePick" sheetId="9" r:id="rId10"/>
  </sheets>
  <functionGroups builtInGroupCount="19"/>
  <definedNames>
    <definedName name="nextMtgDate">Home!$C$4</definedName>
    <definedName name="nextMtgNo">Home!$B$4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A13" i="4"/>
  <c r="A14" i="4"/>
  <c r="A15" i="4"/>
  <c r="A16" i="4"/>
  <c r="A17" i="4"/>
  <c r="A18" i="4"/>
  <c r="A4" i="4"/>
  <c r="A5" i="4"/>
  <c r="A6" i="4"/>
  <c r="A7" i="4"/>
  <c r="A8" i="4"/>
  <c r="A9" i="4"/>
  <c r="A10" i="4"/>
  <c r="A11" i="4"/>
  <c r="A12" i="4"/>
  <c r="A19" i="4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H2" i="1"/>
</calcChain>
</file>

<file path=xl/sharedStrings.xml><?xml version="1.0" encoding="utf-8"?>
<sst xmlns="http://schemas.openxmlformats.org/spreadsheetml/2006/main" count="273" uniqueCount="197">
  <si>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</si>
  <si>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</si>
  <si>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</si>
  <si>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</si>
  <si>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</si>
  <si>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</si>
  <si>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</si>
  <si>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</si>
  <si>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</si>
  <si>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No</t>
    <phoneticPr fontId="2"/>
  </si>
  <si>
    <t>ID</t>
    <phoneticPr fontId="2"/>
  </si>
  <si>
    <t>氏</t>
    <rPh sb="0" eb="1">
      <t>シ</t>
    </rPh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</si>
  <si>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</si>
  <si>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</si>
  <si>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</si>
  <si>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</si>
  <si>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</si>
  <si>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</si>
  <si>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</si>
  <si>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</si>
  <si>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</si>
  <si>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</si>
  <si>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調整時参加可否</t>
    <rPh sb="0" eb="2">
      <t>チョウセイ</t>
    </rPh>
    <rPh sb="2" eb="3">
      <t>ジ</t>
    </rPh>
    <rPh sb="3" eb="5">
      <t>サンカ</t>
    </rPh>
    <rPh sb="5" eb="7">
      <t>カヒ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</si>
  <si>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</si>
  <si>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</si>
  <si>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</si>
  <si>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</si>
  <si>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</si>
  <si>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</si>
  <si>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</si>
  <si>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</si>
  <si>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</si>
  <si>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</si>
  <si>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</si>
  <si>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</si>
  <si>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</si>
  <si>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</si>
  <si>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</si>
  <si>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</si>
  <si>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</si>
  <si>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</si>
  <si>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</si>
  <si>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</si>
  <si>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</si>
  <si>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</si>
  <si>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</si>
  <si>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</si>
  <si>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</si>
  <si>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</si>
  <si>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</si>
  <si>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</si>
  <si>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</si>
  <si>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</si>
  <si>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</si>
  <si>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</si>
  <si>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</si>
  <si>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</si>
  <si>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</si>
  <si>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</si>
  <si>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</si>
  <si>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</si>
  <si>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</si>
  <si>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</si>
  <si>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</si>
  <si>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</si>
  <si>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</si>
  <si>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</si>
  <si>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</si>
  <si>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</si>
  <si>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</si>
  <si>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</si>
  <si>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</si>
  <si>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</si>
  <si>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</si>
  <si>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</si>
  <si>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</si>
  <si>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</si>
  <si>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</si>
  <si>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</si>
  <si>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</si>
  <si>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</si>
  <si>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</si>
  <si>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</si>
  <si>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</si>
  <si>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</si>
  <si>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</si>
  <si>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</si>
  <si>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</si>
  <si>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</si>
  <si>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</si>
  <si>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</si>
  <si>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</si>
  <si>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</si>
  <si>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</si>
  <si>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</si>
  <si>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</si>
  <si>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</si>
  <si>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</si>
  <si>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</si>
  <si>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</si>
  <si>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</si>
  <si>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</si>
  <si>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</si>
  <si>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</si>
  <si>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</si>
  <si>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</si>
  <si>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</si>
  <si>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</si>
  <si>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</si>
  <si>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</si>
  <si>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</si>
  <si>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</si>
  <si>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</si>
  <si>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</si>
  <si>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</si>
  <si>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</si>
  <si>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</si>
  <si>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</si>
  <si>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</si>
  <si>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</si>
  <si>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</si>
  <si>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</si>
  <si>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</si>
  <si>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</si>
  <si>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</si>
  <si>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</si>
  <si>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</si>
  <si>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</si>
  <si>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</si>
  <si>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</si>
  <si>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</si>
  <si>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</si>
  <si>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</si>
  <si>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</si>
  <si>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</si>
  <si>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</si>
  <si>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</si>
  <si>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</si>
  <si>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</si>
  <si>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</si>
  <si>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</si>
  <si>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</si>
  <si>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</si>
  <si>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</si>
  <si>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</si>
  <si>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</si>
  <si>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</si>
  <si>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</si>
  <si>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</si>
  <si>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</si>
  <si>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</si>
  <si>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</si>
  <si>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</si>
  <si>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</si>
  <si>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</si>
  <si>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</si>
  <si>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</si>
  <si>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</si>
  <si>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</si>
  <si>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</si>
  <si>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</si>
  <si>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</si>
  <si>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</si>
  <si>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</si>
  <si>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</si>
  <si>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</si>
  <si>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</si>
  <si>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</si>
  <si>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</si>
  <si>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</si>
  <si>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</si>
  <si>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</si>
  <si>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</si>
  <si>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</si>
  <si>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</si>
  <si>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</si>
  <si>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</si>
  <si>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</si>
  <si>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</si>
  <si>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</si>
  <si>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</si>
  <si>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</si>
  <si>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</si>
  <si>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</si>
  <si>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</si>
  <si>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</si>
  <si>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</si>
  <si>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</si>
  <si>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</si>
  <si>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イワオ</t>
    <phoneticPr fontId="2"/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</si>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</sst>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38" fontId="7" fillId="0" borderId="0" xfId="1" applyFont="1" applyFill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25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numFmt numFmtId="179" formatCode="m/d"/>
    </dxf>
    <dxf>
      <numFmt numFmtId="177" formatCode="yyyy\-mm\-dd;@"/>
    </dxf>
    <dxf>
      <numFmt numFmtId="177" formatCode="yyyy\-mm\-dd;@"/>
    </dxf>
    <dxf>
      <numFmt numFmtId="0" formatCode="General"/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7837</xdr:rowOff>
    </xdr:from>
    <xdr:to>
      <xdr:col>8</xdr:col>
      <xdr:colOff>680400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800" y="1436587"/>
          <a:ext cx="2052000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6</xdr:col>
      <xdr:colOff>4762</xdr:colOff>
      <xdr:row>8</xdr:row>
      <xdr:rowOff>0</xdr:rowOff>
    </xdr:from>
    <xdr:to>
      <xdr:col>9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4</xdr:col>
      <xdr:colOff>678598</xdr:colOff>
      <xdr:row>7</xdr:row>
      <xdr:rowOff>18636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433511"/>
          <a:ext cx="2736000" cy="252000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5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905000"/>
          <a:ext cx="2736000" cy="252000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24">
  <autoFilter ref="A1:K30" xr:uid="{A9901E39-B2C2-4086-B218-3A7C4908D578}"/>
  <tableColumns count="11">
    <tableColumn id="1" xr3:uid="{1DD24435-5150-482C-856E-3E012A56F839}" name="ID" dataDxfId="23"/>
    <tableColumn id="2" xr3:uid="{E4491B20-D827-4C55-8366-5599B6C7485E}" name="姓" dataDxfId="22"/>
    <tableColumn id="3" xr3:uid="{70939716-8DE1-4596-A94D-3AD5A0734FEF}" name="名" dataDxfId="21"/>
    <tableColumn id="4" xr3:uid="{4B1BBD70-3BDF-41A6-B294-C5C9459DEB53}" name="姓_カナ" dataDxfId="20"/>
    <tableColumn id="5" xr3:uid="{AF1937AD-E806-4549-9304-B83ACE016499}" name="名_カナ" dataDxfId="19"/>
    <tableColumn id="11" xr3:uid="{2A57ACFB-ACC2-4CC1-BE8A-92F24EE16D83}" name="氏名" dataDxfId="18"/>
    <tableColumn id="6" xr3:uid="{B9A4A963-5F74-446A-A458-DCDDF8ACB941}" name="入会年月日" dataDxfId="17"/>
    <tableColumn id="7" xr3:uid="{A230C61A-7764-4922-9EF1-6D00E352A115}" name="is東洋大" dataDxfId="16"/>
    <tableColumn id="8" xr3:uid="{29FBA8F0-0628-4F42-A492-B450288445DA}" name="東洋_期" dataDxfId="15"/>
    <tableColumn id="9" xr3:uid="{07C204EA-57A4-4386-A8DD-28D82BEB4AFB}" name="mail" dataDxfId="14"/>
    <tableColumn id="10" xr3:uid="{B95B61ED-F9D6-445A-95E3-EC4DE9CFA694}" name="備考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0">
  <autoFilter ref="A1:H17" xr:uid="{CEA89903-8285-4323-AB83-86FE617E704B}"/>
  <tableColumns count="8">
    <tableColumn id="1" xr3:uid="{75D3E662-22B3-4D5C-9A18-F9694D8ECE9E}" name="MTG_No" dataDxfId="8"/>
    <tableColumn id="2" xr3:uid="{3B796F63-9E9F-45C6-BC85-1985CFE602F2}" name="日付" dataDxfId="7"/>
    <tableColumn id="3" xr3:uid="{CCD4B7E0-B596-4369-B4B8-097EAE40C597}" name="場所" dataDxfId="6"/>
    <tableColumn id="4" xr3:uid="{23C23177-53C4-470E-8687-FB46B188F599}" name="会議室名" dataDxfId="5"/>
    <tableColumn id="5" xr3:uid="{2957653D-2D2D-4A24-8873-E9AA17F6AAA4}" name="開始時間" dataDxfId="4"/>
    <tableColumn id="6" xr3:uid="{E0FB4D31-0EAD-452C-8C73-4DA0D605C8B0}" name="コマ数" dataDxfId="3"/>
    <tableColumn id="7" xr3:uid="{F07E1886-5F5A-4643-89B9-D80D603443BD}" name="費用" dataDxfId="2" dataCellStyle="桁区切り"/>
    <tableColumn id="8" xr3:uid="{EE150A6F-6261-45FA-86FB-79B2636DC6A5}" name="日程決定案内日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19" totalsRowShown="0">
  <autoFilter ref="A3:E19" xr:uid="{CA1BEF66-DBD8-44B7-970D-15FF88EF09B6}"/>
  <tableColumns count="5">
    <tableColumn id="3" xr3:uid="{E224DA49-B932-47DE-9998-2D807BCCFA25}" name="参加者ID" dataDxfId="12">
      <calculatedColumnFormula>_xlfn.XLOOKUP(tRoster[[#This Row],[氏名]],mMember[氏名],mMember[ID],,0)</calculatedColumnFormula>
    </tableColumn>
    <tableColumn id="4" xr3:uid="{DC965BEF-D579-4148-ADA9-F8F45A20DBCE}" name="氏名"/>
    <tableColumn id="6" xr3:uid="{7BAD0A59-3ECD-4DE1-ADE1-58DDEA95C1C5}" name="調整時_x000a_参加可否"/>
    <tableColumn id="2" xr3:uid="{CC05CE17-27EA-4ACD-B220-FE9D0126BD9E}" name="出欠予定"/>
    <tableColumn id="7" xr3:uid="{EB602701-243D-42A3-8B98-FCBC658CD0DD}" name="当日出欠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5" totalsRowShown="0">
  <autoFilter ref="A1:G15" xr:uid="{8B7963CA-DF5A-4067-8955-56A07104359F}"/>
  <tableColumns count="7">
    <tableColumn id="7" xr3:uid="{F84A49F7-578C-454D-ABE1-EEAEB2521A49}" name="NomID"/>
    <tableColumn id="1" xr3:uid="{2F870DBD-FA0B-46FE-B742-CF065CFF6D59}" name="MTG_No"/>
    <tableColumn id="2" xr3:uid="{7E3C6DEF-071A-4703-917B-15663E801C97}" name="日付" dataDxfId="11"/>
    <tableColumn id="3" xr3:uid="{6060327C-78DD-4607-9BAD-7AD35BC5E89B}" name="曜日" dataDxfId="10">
      <calculatedColumnFormula>TEXT(C2,"aaa")</calculatedColumnFormula>
    </tableColumn>
    <tableColumn id="4" xr3:uid="{893FF169-D7E6-4195-9EB4-65ED44FDF579}" name="時間"/>
    <tableColumn id="5" xr3:uid="{A2607EC7-220E-463A-9E0F-23B69B7E911C}" name="場所"/>
    <tableColumn id="6" xr3:uid="{D6021CB1-B6C0-4F53-9B3D-B810983805E6}" name="会議室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9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H3" sqref="H3"/>
    </sheetView>
  </sheetViews>
  <sheetFormatPr defaultRowHeight="18.75" x14ac:dyDescent="0.4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4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4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J16" sqref="J16"/>
    </sheetView>
  </sheetViews>
  <sheetFormatPr defaultRowHeight="18.75" x14ac:dyDescent="0.4"/>
  <sheetData>
    <row r="2" spans="2:4" x14ac:dyDescent="0.25">
      <c r="B2" s="13" t="s">
        <v>61</v>
      </c>
      <c r="C2" s="13"/>
      <c r="D2" s="13"/>
    </row>
    <row r="3" spans="2:4" x14ac:dyDescent="0.25">
      <c r="B3" s="14" t="s">
        <v>60</v>
      </c>
      <c r="C3" s="19" t="s">
        <v>62</v>
      </c>
      <c r="D3" s="20"/>
    </row>
    <row r="4" spans="2:4" x14ac:dyDescent="0.25">
      <c r="B4" s="15">
        <v>14</v>
      </c>
      <c r="C4" s="21" t="s">
        <v>63</v>
      </c>
      <c r="D4" s="22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D3" sqref="D3"/>
    </sheetView>
  </sheetViews>
  <sheetFormatPr defaultRowHeight="18.75" x14ac:dyDescent="0.4"/>
  <cols>
    <col min="4" max="7" width="12.125" customWidth="1"/>
    <col min="8" max="8" width="9.875" customWidth="1"/>
    <col min="9" max="9" width="9.375" customWidth="1"/>
    <col min="11" max="11" width="15.125" bestFit="1" customWidth="1"/>
  </cols>
  <sheetData>
    <row r="1" spans="1:11" x14ac:dyDescent="0.4">
      <c r="A1" t="s">
        <v>10</v>
      </c>
      <c r="B1" t="s">
        <v>28</v>
      </c>
      <c r="C1" t="s">
        <v>12</v>
      </c>
      <c r="D1" t="s">
        <v>29</v>
      </c>
      <c r="E1" t="s">
        <v>30</v>
      </c>
      <c r="F1" t="s">
        <v>39</v>
      </c>
      <c r="G1" t="s">
        <v>13</v>
      </c>
      <c r="H1" t="s">
        <v>14</v>
      </c>
      <c r="I1" t="s">
        <v>15</v>
      </c>
      <c r="J1" t="s">
        <v>16</v>
      </c>
      <c r="K1" t="s">
        <v>24</v>
      </c>
    </row>
    <row r="2" spans="1:11" x14ac:dyDescent="0.4">
      <c r="A2" s="16">
        <v>202201</v>
      </c>
      <c r="B2" s="16" t="s">
        <v>64</v>
      </c>
      <c r="C2" s="16" t="s">
        <v>65</v>
      </c>
      <c r="D2" s="16" t="s">
        <v>189</v>
      </c>
      <c r="E2" s="16" t="s">
        <v>66</v>
      </c>
      <c r="F2" s="16" t="s">
        <v>41</v>
      </c>
      <c r="G2" s="17">
        <v>44701</v>
      </c>
      <c r="H2" s="16">
        <v>1</v>
      </c>
      <c r="I2" s="16">
        <v>11</v>
      </c>
      <c r="J2" s="16"/>
      <c r="K2" s="16"/>
    </row>
    <row r="3" spans="1:11" x14ac:dyDescent="0.4">
      <c r="A3" s="16">
        <v>202202</v>
      </c>
      <c r="B3" s="16" t="s">
        <v>67</v>
      </c>
      <c r="C3" s="16" t="s">
        <v>68</v>
      </c>
      <c r="D3" s="16" t="s">
        <v>69</v>
      </c>
      <c r="E3" s="16" t="s">
        <v>70</v>
      </c>
      <c r="F3" s="16" t="s">
        <v>71</v>
      </c>
      <c r="G3" s="17">
        <v>44701</v>
      </c>
      <c r="H3" s="16">
        <v>1</v>
      </c>
      <c r="I3" s="16">
        <v>11</v>
      </c>
      <c r="J3" s="16"/>
      <c r="K3" s="16"/>
    </row>
    <row r="4" spans="1:11" x14ac:dyDescent="0.4">
      <c r="A4" s="16">
        <v>202203</v>
      </c>
      <c r="B4" s="16" t="s">
        <v>72</v>
      </c>
      <c r="C4" s="16" t="s">
        <v>73</v>
      </c>
      <c r="D4" s="16" t="s">
        <v>74</v>
      </c>
      <c r="E4" s="16" t="s">
        <v>75</v>
      </c>
      <c r="F4" s="16" t="s">
        <v>50</v>
      </c>
      <c r="G4" s="17">
        <v>44701</v>
      </c>
      <c r="H4" s="16">
        <v>1</v>
      </c>
      <c r="I4" s="16">
        <v>11</v>
      </c>
      <c r="J4" s="16"/>
      <c r="K4" s="16"/>
    </row>
    <row r="5" spans="1:11" x14ac:dyDescent="0.4">
      <c r="A5" s="16">
        <v>202204</v>
      </c>
      <c r="B5" s="16" t="s">
        <v>76</v>
      </c>
      <c r="C5" s="16" t="s">
        <v>77</v>
      </c>
      <c r="D5" s="16" t="s">
        <v>78</v>
      </c>
      <c r="E5" s="16" t="s">
        <v>79</v>
      </c>
      <c r="F5" s="16" t="s">
        <v>46</v>
      </c>
      <c r="G5" s="17">
        <v>44701</v>
      </c>
      <c r="H5" s="16">
        <v>1</v>
      </c>
      <c r="I5" s="16">
        <v>11</v>
      </c>
      <c r="J5" s="16"/>
      <c r="K5" s="16"/>
    </row>
    <row r="6" spans="1:11" x14ac:dyDescent="0.4">
      <c r="A6" s="16">
        <v>202205</v>
      </c>
      <c r="B6" s="16" t="s">
        <v>80</v>
      </c>
      <c r="C6" s="16" t="s">
        <v>81</v>
      </c>
      <c r="D6" s="16" t="s">
        <v>82</v>
      </c>
      <c r="E6" s="16" t="s">
        <v>83</v>
      </c>
      <c r="F6" s="16" t="s">
        <v>84</v>
      </c>
      <c r="G6" s="17">
        <v>44701</v>
      </c>
      <c r="H6" s="16">
        <v>1</v>
      </c>
      <c r="I6" s="16">
        <v>11</v>
      </c>
      <c r="J6" s="16"/>
      <c r="K6" s="16"/>
    </row>
    <row r="7" spans="1:11" x14ac:dyDescent="0.4">
      <c r="A7" s="16">
        <v>202206</v>
      </c>
      <c r="B7" s="16" t="s">
        <v>85</v>
      </c>
      <c r="C7" s="16" t="s">
        <v>86</v>
      </c>
      <c r="D7" s="16" t="s">
        <v>87</v>
      </c>
      <c r="E7" s="16" t="s">
        <v>88</v>
      </c>
      <c r="F7" s="16" t="s">
        <v>89</v>
      </c>
      <c r="G7" s="17">
        <v>44701</v>
      </c>
      <c r="H7" s="16">
        <v>1</v>
      </c>
      <c r="I7" s="16">
        <v>11</v>
      </c>
      <c r="J7" s="16"/>
      <c r="K7" s="16"/>
    </row>
    <row r="8" spans="1:11" x14ac:dyDescent="0.4">
      <c r="A8" s="16">
        <v>202207</v>
      </c>
      <c r="B8" s="16" t="s">
        <v>90</v>
      </c>
      <c r="C8" s="16" t="s">
        <v>91</v>
      </c>
      <c r="D8" s="16" t="s">
        <v>92</v>
      </c>
      <c r="E8" s="16" t="s">
        <v>93</v>
      </c>
      <c r="F8" s="16" t="s">
        <v>45</v>
      </c>
      <c r="G8" s="17">
        <v>44701</v>
      </c>
      <c r="H8" s="16">
        <v>1</v>
      </c>
      <c r="I8" s="16">
        <v>11</v>
      </c>
      <c r="J8" s="16"/>
      <c r="K8" s="16"/>
    </row>
    <row r="9" spans="1:11" x14ac:dyDescent="0.4">
      <c r="A9" s="16">
        <v>202208</v>
      </c>
      <c r="B9" s="16" t="s">
        <v>94</v>
      </c>
      <c r="C9" s="16" t="s">
        <v>95</v>
      </c>
      <c r="D9" s="16" t="s">
        <v>96</v>
      </c>
      <c r="E9" s="16" t="s">
        <v>97</v>
      </c>
      <c r="F9" s="16" t="s">
        <v>42</v>
      </c>
      <c r="G9" s="17">
        <v>44701</v>
      </c>
      <c r="H9" s="16">
        <v>1</v>
      </c>
      <c r="I9" s="16">
        <v>11</v>
      </c>
      <c r="J9" s="16"/>
      <c r="K9" s="16"/>
    </row>
    <row r="10" spans="1:11" x14ac:dyDescent="0.4">
      <c r="A10" s="16">
        <v>202209</v>
      </c>
      <c r="B10" s="16" t="s">
        <v>98</v>
      </c>
      <c r="C10" s="16" t="s">
        <v>99</v>
      </c>
      <c r="D10" s="16" t="s">
        <v>100</v>
      </c>
      <c r="E10" s="16" t="s">
        <v>101</v>
      </c>
      <c r="F10" s="16" t="s">
        <v>47</v>
      </c>
      <c r="G10" s="17">
        <v>44701</v>
      </c>
      <c r="H10" s="16">
        <v>1</v>
      </c>
      <c r="I10" s="16">
        <v>11</v>
      </c>
      <c r="J10" s="16"/>
      <c r="K10" s="16"/>
    </row>
    <row r="11" spans="1:11" x14ac:dyDescent="0.4">
      <c r="A11" s="16">
        <v>202210</v>
      </c>
      <c r="B11" s="16" t="s">
        <v>102</v>
      </c>
      <c r="C11" s="16" t="s">
        <v>103</v>
      </c>
      <c r="D11" s="16" t="s">
        <v>104</v>
      </c>
      <c r="E11" s="16" t="s">
        <v>105</v>
      </c>
      <c r="F11" s="16" t="s">
        <v>51</v>
      </c>
      <c r="G11" s="17">
        <v>44730</v>
      </c>
      <c r="H11" s="16">
        <v>1</v>
      </c>
      <c r="I11" s="16">
        <v>11</v>
      </c>
      <c r="J11" s="16"/>
      <c r="K11" s="16"/>
    </row>
    <row r="12" spans="1:11" x14ac:dyDescent="0.4">
      <c r="A12" s="16">
        <v>202211</v>
      </c>
      <c r="B12" s="16" t="s">
        <v>106</v>
      </c>
      <c r="C12" s="16" t="s">
        <v>107</v>
      </c>
      <c r="D12" s="16" t="s">
        <v>108</v>
      </c>
      <c r="E12" s="16" t="s">
        <v>109</v>
      </c>
      <c r="F12" s="16" t="s">
        <v>52</v>
      </c>
      <c r="G12" s="17">
        <v>44730</v>
      </c>
      <c r="H12" s="16">
        <v>1</v>
      </c>
      <c r="I12" s="16">
        <v>11</v>
      </c>
      <c r="J12" s="16"/>
      <c r="K12" s="16"/>
    </row>
    <row r="13" spans="1:11" x14ac:dyDescent="0.4">
      <c r="A13" s="16">
        <v>202212</v>
      </c>
      <c r="B13" s="16" t="s">
        <v>110</v>
      </c>
      <c r="C13" s="16" t="s">
        <v>111</v>
      </c>
      <c r="D13" s="16" t="s">
        <v>112</v>
      </c>
      <c r="E13" s="16" t="s">
        <v>113</v>
      </c>
      <c r="F13" s="16" t="s">
        <v>114</v>
      </c>
      <c r="G13" s="17">
        <v>44730</v>
      </c>
      <c r="H13" s="16">
        <v>1</v>
      </c>
      <c r="I13" s="16">
        <v>11</v>
      </c>
      <c r="J13" s="16"/>
      <c r="K13" s="16"/>
    </row>
    <row r="14" spans="1:11" x14ac:dyDescent="0.4">
      <c r="A14" s="16">
        <v>202213</v>
      </c>
      <c r="B14" s="16" t="s">
        <v>115</v>
      </c>
      <c r="C14" s="16" t="s">
        <v>116</v>
      </c>
      <c r="D14" s="16" t="s">
        <v>117</v>
      </c>
      <c r="E14" s="16" t="s">
        <v>118</v>
      </c>
      <c r="F14" s="16" t="s">
        <v>119</v>
      </c>
      <c r="G14" s="17">
        <v>44730</v>
      </c>
      <c r="H14" s="16">
        <v>1</v>
      </c>
      <c r="I14" s="16">
        <v>11</v>
      </c>
      <c r="J14" s="16"/>
      <c r="K14" s="16"/>
    </row>
    <row r="15" spans="1:11" x14ac:dyDescent="0.4">
      <c r="A15" s="16">
        <v>202214</v>
      </c>
      <c r="B15" s="16" t="s">
        <v>120</v>
      </c>
      <c r="C15" s="16" t="s">
        <v>121</v>
      </c>
      <c r="D15" s="16" t="s">
        <v>122</v>
      </c>
      <c r="E15" s="16" t="s">
        <v>123</v>
      </c>
      <c r="F15" s="16" t="s">
        <v>54</v>
      </c>
      <c r="G15" s="17">
        <v>44749</v>
      </c>
      <c r="H15" s="16">
        <v>1</v>
      </c>
      <c r="I15" s="16">
        <v>11</v>
      </c>
      <c r="J15" s="16"/>
      <c r="K15" s="16"/>
    </row>
    <row r="16" spans="1:11" x14ac:dyDescent="0.4">
      <c r="A16" s="16">
        <v>202215</v>
      </c>
      <c r="B16" s="16" t="s">
        <v>124</v>
      </c>
      <c r="C16" s="16" t="s">
        <v>125</v>
      </c>
      <c r="D16" s="16" t="s">
        <v>126</v>
      </c>
      <c r="E16" s="16" t="s">
        <v>127</v>
      </c>
      <c r="F16" s="16" t="s">
        <v>43</v>
      </c>
      <c r="G16" s="17">
        <v>44772</v>
      </c>
      <c r="H16" s="16">
        <v>1</v>
      </c>
      <c r="I16" s="16">
        <v>12</v>
      </c>
      <c r="J16" s="16"/>
      <c r="K16" s="16"/>
    </row>
    <row r="17" spans="1:11" x14ac:dyDescent="0.4">
      <c r="A17" s="16">
        <v>202216</v>
      </c>
      <c r="B17" s="16" t="s">
        <v>128</v>
      </c>
      <c r="C17" s="16" t="s">
        <v>129</v>
      </c>
      <c r="D17" s="16" t="s">
        <v>130</v>
      </c>
      <c r="E17" s="16" t="s">
        <v>131</v>
      </c>
      <c r="F17" s="16" t="s">
        <v>132</v>
      </c>
      <c r="G17" s="17">
        <v>44884</v>
      </c>
      <c r="H17" s="16">
        <v>1</v>
      </c>
      <c r="I17" s="16">
        <v>11</v>
      </c>
      <c r="J17" s="16"/>
      <c r="K17" s="16"/>
    </row>
    <row r="18" spans="1:11" x14ac:dyDescent="0.4">
      <c r="A18" s="16">
        <v>202217</v>
      </c>
      <c r="B18" s="16" t="s">
        <v>133</v>
      </c>
      <c r="C18" s="16" t="s">
        <v>134</v>
      </c>
      <c r="D18" s="16" t="s">
        <v>135</v>
      </c>
      <c r="E18" s="16" t="s">
        <v>136</v>
      </c>
      <c r="F18" s="16" t="s">
        <v>137</v>
      </c>
      <c r="G18" s="17">
        <v>44884</v>
      </c>
      <c r="H18" s="16">
        <v>1</v>
      </c>
      <c r="I18" s="16">
        <v>11</v>
      </c>
      <c r="J18" s="16"/>
      <c r="K18" s="16"/>
    </row>
    <row r="19" spans="1:11" x14ac:dyDescent="0.4">
      <c r="A19" s="16">
        <v>202218</v>
      </c>
      <c r="B19" s="16" t="s">
        <v>138</v>
      </c>
      <c r="C19" s="16" t="s">
        <v>139</v>
      </c>
      <c r="D19" s="16" t="s">
        <v>140</v>
      </c>
      <c r="E19" s="16" t="s">
        <v>97</v>
      </c>
      <c r="F19" s="16" t="s">
        <v>141</v>
      </c>
      <c r="G19" s="17">
        <v>44884</v>
      </c>
      <c r="H19" s="16">
        <v>1</v>
      </c>
      <c r="I19" s="16">
        <v>11</v>
      </c>
      <c r="J19" s="16"/>
      <c r="K19" s="16"/>
    </row>
    <row r="20" spans="1:11" x14ac:dyDescent="0.4">
      <c r="A20" s="16">
        <v>202219</v>
      </c>
      <c r="B20" s="16" t="s">
        <v>142</v>
      </c>
      <c r="C20" s="16" t="s">
        <v>134</v>
      </c>
      <c r="D20" s="16" t="s">
        <v>143</v>
      </c>
      <c r="E20" s="16" t="s">
        <v>136</v>
      </c>
      <c r="F20" s="16" t="s">
        <v>44</v>
      </c>
      <c r="G20" s="17">
        <v>44884</v>
      </c>
      <c r="H20" s="16">
        <v>1</v>
      </c>
      <c r="I20" s="16">
        <v>11</v>
      </c>
      <c r="J20" s="16"/>
      <c r="K20" s="16"/>
    </row>
    <row r="21" spans="1:11" x14ac:dyDescent="0.4">
      <c r="A21" s="16">
        <v>202220</v>
      </c>
      <c r="B21" s="16" t="s">
        <v>144</v>
      </c>
      <c r="C21" s="16" t="s">
        <v>145</v>
      </c>
      <c r="D21" s="16" t="s">
        <v>146</v>
      </c>
      <c r="E21" s="16" t="s">
        <v>147</v>
      </c>
      <c r="F21" s="16" t="s">
        <v>148</v>
      </c>
      <c r="G21" s="17">
        <v>44906</v>
      </c>
      <c r="H21" s="16">
        <v>1</v>
      </c>
      <c r="I21" s="16">
        <v>12</v>
      </c>
      <c r="J21" s="16"/>
      <c r="K21" s="16"/>
    </row>
    <row r="22" spans="1:11" x14ac:dyDescent="0.4">
      <c r="A22" s="16">
        <v>202221</v>
      </c>
      <c r="B22" s="16" t="s">
        <v>149</v>
      </c>
      <c r="C22" s="16" t="s">
        <v>150</v>
      </c>
      <c r="D22" s="16" t="s">
        <v>151</v>
      </c>
      <c r="E22" s="16" t="s">
        <v>152</v>
      </c>
      <c r="F22" s="16" t="s">
        <v>153</v>
      </c>
      <c r="G22" s="17">
        <v>44906</v>
      </c>
      <c r="H22" s="16">
        <v>1</v>
      </c>
      <c r="I22" s="16">
        <v>12</v>
      </c>
      <c r="J22" s="16"/>
      <c r="K22" s="16"/>
    </row>
    <row r="23" spans="1:11" x14ac:dyDescent="0.4">
      <c r="A23" s="16">
        <v>202301</v>
      </c>
      <c r="B23" s="16" t="s">
        <v>154</v>
      </c>
      <c r="C23" s="16" t="s">
        <v>155</v>
      </c>
      <c r="D23" s="16" t="s">
        <v>156</v>
      </c>
      <c r="E23" s="16" t="s">
        <v>109</v>
      </c>
      <c r="F23" s="16" t="s">
        <v>55</v>
      </c>
      <c r="G23" s="17">
        <v>44989</v>
      </c>
      <c r="H23" s="16">
        <v>1</v>
      </c>
      <c r="I23" s="16">
        <v>12</v>
      </c>
      <c r="J23" s="16"/>
      <c r="K23" s="16"/>
    </row>
    <row r="24" spans="1:11" x14ac:dyDescent="0.4">
      <c r="A24" s="16">
        <v>202302</v>
      </c>
      <c r="B24" s="16" t="s">
        <v>157</v>
      </c>
      <c r="C24" s="16" t="s">
        <v>158</v>
      </c>
      <c r="D24" s="16" t="s">
        <v>159</v>
      </c>
      <c r="E24" s="16" t="s">
        <v>160</v>
      </c>
      <c r="F24" s="16" t="s">
        <v>161</v>
      </c>
      <c r="G24" s="17">
        <v>45062</v>
      </c>
      <c r="H24" s="16">
        <v>1</v>
      </c>
      <c r="I24" s="16">
        <v>12</v>
      </c>
      <c r="J24" s="16"/>
      <c r="K24" s="16"/>
    </row>
    <row r="25" spans="1:11" x14ac:dyDescent="0.4">
      <c r="A25" s="16">
        <v>202303</v>
      </c>
      <c r="B25" s="16" t="s">
        <v>162</v>
      </c>
      <c r="C25" s="16" t="s">
        <v>163</v>
      </c>
      <c r="D25" s="16" t="s">
        <v>164</v>
      </c>
      <c r="E25" s="16" t="s">
        <v>165</v>
      </c>
      <c r="F25" s="16" t="s">
        <v>166</v>
      </c>
      <c r="G25" s="17">
        <v>45062</v>
      </c>
      <c r="H25" s="16">
        <v>1</v>
      </c>
      <c r="I25" s="16">
        <v>12</v>
      </c>
      <c r="J25" s="16"/>
      <c r="K25" s="16"/>
    </row>
    <row r="26" spans="1:11" x14ac:dyDescent="0.4">
      <c r="A26" s="16">
        <v>202304</v>
      </c>
      <c r="B26" s="16" t="s">
        <v>167</v>
      </c>
      <c r="C26" s="16" t="s">
        <v>168</v>
      </c>
      <c r="D26" s="16" t="s">
        <v>169</v>
      </c>
      <c r="E26" s="16" t="s">
        <v>170</v>
      </c>
      <c r="F26" s="16" t="s">
        <v>56</v>
      </c>
      <c r="G26" s="17">
        <v>45062</v>
      </c>
      <c r="H26" s="16">
        <v>0</v>
      </c>
      <c r="I26" s="16"/>
      <c r="J26" s="16"/>
      <c r="K26" s="16" t="s">
        <v>171</v>
      </c>
    </row>
    <row r="27" spans="1:11" x14ac:dyDescent="0.4">
      <c r="A27" s="16">
        <v>202305</v>
      </c>
      <c r="B27" s="16" t="s">
        <v>172</v>
      </c>
      <c r="C27" s="16" t="s">
        <v>173</v>
      </c>
      <c r="D27" s="16" t="s">
        <v>174</v>
      </c>
      <c r="E27" s="16" t="s">
        <v>175</v>
      </c>
      <c r="F27" s="16" t="s">
        <v>48</v>
      </c>
      <c r="G27" s="17">
        <v>45066</v>
      </c>
      <c r="H27" s="16">
        <v>1</v>
      </c>
      <c r="I27" s="16">
        <v>12</v>
      </c>
      <c r="J27" s="16"/>
      <c r="K27" s="16"/>
    </row>
    <row r="28" spans="1:11" x14ac:dyDescent="0.4">
      <c r="A28" s="16">
        <v>202306</v>
      </c>
      <c r="B28" s="16" t="s">
        <v>176</v>
      </c>
      <c r="C28" s="16" t="s">
        <v>177</v>
      </c>
      <c r="D28" s="16" t="s">
        <v>178</v>
      </c>
      <c r="E28" s="16" t="s">
        <v>179</v>
      </c>
      <c r="F28" s="16" t="s">
        <v>53</v>
      </c>
      <c r="G28" s="17">
        <v>45095</v>
      </c>
      <c r="H28" s="16">
        <v>1</v>
      </c>
      <c r="I28" s="16">
        <v>12</v>
      </c>
      <c r="J28" s="16"/>
      <c r="K28" s="16"/>
    </row>
    <row r="29" spans="1:11" x14ac:dyDescent="0.4">
      <c r="A29" s="16">
        <v>202307</v>
      </c>
      <c r="B29" s="16" t="s">
        <v>180</v>
      </c>
      <c r="C29" s="16" t="s">
        <v>181</v>
      </c>
      <c r="D29" s="16" t="s">
        <v>182</v>
      </c>
      <c r="E29" s="16" t="s">
        <v>183</v>
      </c>
      <c r="F29" s="16" t="s">
        <v>49</v>
      </c>
      <c r="G29" s="17">
        <v>45095</v>
      </c>
      <c r="H29" s="16">
        <v>1</v>
      </c>
      <c r="I29" s="16">
        <v>12</v>
      </c>
      <c r="J29" s="16"/>
      <c r="K29" s="16"/>
    </row>
    <row r="30" spans="1:11" x14ac:dyDescent="0.4">
      <c r="A30" s="16">
        <v>202308</v>
      </c>
      <c r="B30" s="16" t="s">
        <v>184</v>
      </c>
      <c r="C30" s="16" t="s">
        <v>185</v>
      </c>
      <c r="D30" s="16" t="s">
        <v>186</v>
      </c>
      <c r="E30" s="16" t="s">
        <v>187</v>
      </c>
      <c r="F30" s="16" t="s">
        <v>188</v>
      </c>
      <c r="G30" s="17">
        <v>45095</v>
      </c>
      <c r="H30" s="16">
        <v>1</v>
      </c>
      <c r="I30" s="16">
        <v>13</v>
      </c>
      <c r="J30" s="16"/>
      <c r="K30" s="16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A10" sqref="A10"/>
    </sheetView>
  </sheetViews>
  <sheetFormatPr defaultRowHeight="18.75" x14ac:dyDescent="0.4"/>
  <cols>
    <col min="1" max="1" width="11" bestFit="1" customWidth="1"/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4">
      <c r="A1" t="s">
        <v>31</v>
      </c>
      <c r="B1" t="s">
        <v>18</v>
      </c>
      <c r="C1" t="s">
        <v>17</v>
      </c>
      <c r="D1" t="s">
        <v>20</v>
      </c>
      <c r="E1" t="s">
        <v>25</v>
      </c>
      <c r="F1" t="s">
        <v>26</v>
      </c>
      <c r="G1" t="s">
        <v>19</v>
      </c>
      <c r="H1" t="s">
        <v>27</v>
      </c>
    </row>
    <row r="2" spans="1:8" x14ac:dyDescent="0.4">
      <c r="A2" s="24">
        <v>16</v>
      </c>
      <c r="B2" s="25">
        <v>45170</v>
      </c>
      <c r="C2" s="24" t="s">
        <v>190</v>
      </c>
      <c r="D2" s="24"/>
      <c r="E2" s="26"/>
      <c r="F2" s="24"/>
      <c r="G2" s="18"/>
      <c r="H2" s="25"/>
    </row>
    <row r="3" spans="1:8" x14ac:dyDescent="0.4">
      <c r="A3" s="24">
        <v>15</v>
      </c>
      <c r="B3" s="25">
        <v>45158</v>
      </c>
      <c r="C3" s="24" t="s">
        <v>190</v>
      </c>
      <c r="D3" s="24" t="s">
        <v>191</v>
      </c>
      <c r="E3" s="26">
        <v>0.54166666666666663</v>
      </c>
      <c r="F3" s="24">
        <v>1</v>
      </c>
      <c r="G3" s="18">
        <v>2160</v>
      </c>
      <c r="H3" s="25">
        <v>45102</v>
      </c>
    </row>
    <row r="4" spans="1:8" x14ac:dyDescent="0.4">
      <c r="A4" s="24">
        <v>14</v>
      </c>
      <c r="B4" s="25">
        <v>45129</v>
      </c>
      <c r="C4" s="24" t="s">
        <v>190</v>
      </c>
      <c r="D4" s="24" t="s">
        <v>191</v>
      </c>
      <c r="E4" s="26">
        <v>0.39583333333333331</v>
      </c>
      <c r="F4" s="24">
        <v>1</v>
      </c>
      <c r="G4" s="18">
        <v>1440</v>
      </c>
      <c r="H4" s="25">
        <v>45102</v>
      </c>
    </row>
    <row r="5" spans="1:8" x14ac:dyDescent="0.4">
      <c r="A5" s="24">
        <v>13</v>
      </c>
      <c r="B5" s="25">
        <v>45102</v>
      </c>
      <c r="C5" s="24" t="s">
        <v>190</v>
      </c>
      <c r="D5" s="24" t="s">
        <v>191</v>
      </c>
      <c r="E5" s="26">
        <v>0.4375</v>
      </c>
      <c r="F5" s="24">
        <v>2</v>
      </c>
      <c r="G5" s="18">
        <v>3600</v>
      </c>
      <c r="H5" s="25">
        <v>45038</v>
      </c>
    </row>
    <row r="6" spans="1:8" x14ac:dyDescent="0.4">
      <c r="A6" s="24">
        <v>12</v>
      </c>
      <c r="B6" s="25">
        <v>45066</v>
      </c>
      <c r="C6" s="24" t="s">
        <v>190</v>
      </c>
      <c r="D6" s="24" t="s">
        <v>196</v>
      </c>
      <c r="E6" s="26">
        <v>0.4375</v>
      </c>
      <c r="F6" s="24">
        <v>2</v>
      </c>
      <c r="G6" s="18">
        <v>2760</v>
      </c>
      <c r="H6" s="25">
        <v>45005</v>
      </c>
    </row>
    <row r="7" spans="1:8" x14ac:dyDescent="0.4">
      <c r="A7" s="24">
        <v>11</v>
      </c>
      <c r="B7" s="25">
        <v>45025</v>
      </c>
      <c r="C7" s="24" t="s">
        <v>190</v>
      </c>
      <c r="D7" s="24" t="s">
        <v>191</v>
      </c>
      <c r="E7" s="26">
        <v>0.4375</v>
      </c>
      <c r="F7" s="24">
        <v>2</v>
      </c>
      <c r="G7" s="18">
        <v>3600</v>
      </c>
      <c r="H7" s="25"/>
    </row>
    <row r="8" spans="1:8" x14ac:dyDescent="0.4">
      <c r="A8" s="24">
        <v>10</v>
      </c>
      <c r="B8" s="25">
        <v>44997</v>
      </c>
      <c r="C8" s="24" t="s">
        <v>190</v>
      </c>
      <c r="D8" s="24" t="s">
        <v>191</v>
      </c>
      <c r="E8" s="26">
        <v>0.4375</v>
      </c>
      <c r="F8" s="24">
        <v>2</v>
      </c>
      <c r="G8" s="18">
        <v>3600</v>
      </c>
      <c r="H8" s="25"/>
    </row>
    <row r="9" spans="1:8" x14ac:dyDescent="0.4">
      <c r="A9" s="24">
        <v>9</v>
      </c>
      <c r="B9" s="25">
        <v>44982</v>
      </c>
      <c r="C9" s="24" t="s">
        <v>195</v>
      </c>
      <c r="D9" s="24"/>
      <c r="E9" s="26"/>
      <c r="F9" s="24"/>
      <c r="G9" s="18"/>
      <c r="H9" s="25"/>
    </row>
    <row r="10" spans="1:8" x14ac:dyDescent="0.4">
      <c r="A10" s="24">
        <v>8</v>
      </c>
      <c r="B10" s="25">
        <v>44941</v>
      </c>
      <c r="C10" s="24" t="s">
        <v>190</v>
      </c>
      <c r="D10" s="24" t="s">
        <v>194</v>
      </c>
      <c r="E10" s="26">
        <v>0.54166666666666663</v>
      </c>
      <c r="F10" s="24">
        <v>1</v>
      </c>
      <c r="G10" s="18"/>
      <c r="H10" s="25"/>
    </row>
    <row r="11" spans="1:8" x14ac:dyDescent="0.4">
      <c r="A11" s="24">
        <v>7</v>
      </c>
      <c r="B11" s="25">
        <v>44906</v>
      </c>
      <c r="C11" s="24" t="s">
        <v>193</v>
      </c>
      <c r="D11" s="24">
        <v>8303</v>
      </c>
      <c r="E11" s="26">
        <v>0.4375</v>
      </c>
      <c r="F11" s="24"/>
      <c r="G11" s="18"/>
      <c r="H11" s="25"/>
    </row>
    <row r="12" spans="1:8" x14ac:dyDescent="0.4">
      <c r="A12" s="24">
        <v>6</v>
      </c>
      <c r="B12" s="25">
        <v>44884</v>
      </c>
      <c r="C12" s="24" t="s">
        <v>193</v>
      </c>
      <c r="D12" s="24">
        <v>8502</v>
      </c>
      <c r="E12" s="26">
        <v>0.4375</v>
      </c>
      <c r="F12" s="24"/>
      <c r="G12" s="18"/>
      <c r="H12" s="25"/>
    </row>
    <row r="13" spans="1:8" x14ac:dyDescent="0.4">
      <c r="A13" s="24">
        <v>5</v>
      </c>
      <c r="B13" s="25">
        <v>44864</v>
      </c>
      <c r="C13" s="24" t="s">
        <v>190</v>
      </c>
      <c r="D13" s="24" t="s">
        <v>191</v>
      </c>
      <c r="E13" s="26">
        <v>0.4375</v>
      </c>
      <c r="F13" s="24">
        <v>2</v>
      </c>
      <c r="G13" s="18"/>
      <c r="H13" s="25"/>
    </row>
    <row r="14" spans="1:8" x14ac:dyDescent="0.4">
      <c r="A14" s="24">
        <v>4</v>
      </c>
      <c r="B14" s="25">
        <v>44827</v>
      </c>
      <c r="C14" s="24" t="s">
        <v>190</v>
      </c>
      <c r="D14" s="24" t="s">
        <v>192</v>
      </c>
      <c r="E14" s="26">
        <v>0.4375</v>
      </c>
      <c r="F14" s="24">
        <v>2</v>
      </c>
      <c r="G14" s="18"/>
      <c r="H14" s="25"/>
    </row>
    <row r="15" spans="1:8" x14ac:dyDescent="0.4">
      <c r="A15" s="24">
        <v>3</v>
      </c>
      <c r="B15" s="25">
        <v>44794</v>
      </c>
      <c r="C15" s="24" t="s">
        <v>190</v>
      </c>
      <c r="D15" s="24" t="s">
        <v>192</v>
      </c>
      <c r="E15" s="26">
        <v>0.4375</v>
      </c>
      <c r="F15" s="24">
        <v>2</v>
      </c>
      <c r="G15" s="18"/>
      <c r="H15" s="25"/>
    </row>
    <row r="16" spans="1:8" x14ac:dyDescent="0.4">
      <c r="A16" s="24">
        <v>2</v>
      </c>
      <c r="B16" s="25">
        <v>44772</v>
      </c>
      <c r="C16" s="24" t="s">
        <v>190</v>
      </c>
      <c r="D16" s="24" t="s">
        <v>192</v>
      </c>
      <c r="E16" s="26">
        <v>0.4375</v>
      </c>
      <c r="F16" s="24"/>
      <c r="G16" s="18"/>
      <c r="H16" s="25"/>
    </row>
    <row r="17" spans="1:8" x14ac:dyDescent="0.4">
      <c r="A17" s="24">
        <v>1</v>
      </c>
      <c r="B17" s="25">
        <v>44738</v>
      </c>
      <c r="C17" s="24" t="s">
        <v>190</v>
      </c>
      <c r="D17" s="24" t="s">
        <v>191</v>
      </c>
      <c r="E17" s="26">
        <v>0.4375</v>
      </c>
      <c r="F17" s="24">
        <v>1</v>
      </c>
      <c r="G17" s="18"/>
      <c r="H17" s="2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Sheet4"/>
  <dimension ref="A1:E19"/>
  <sheetViews>
    <sheetView workbookViewId="0">
      <selection activeCell="L3" sqref="L3"/>
    </sheetView>
  </sheetViews>
  <sheetFormatPr defaultRowHeight="18.75" x14ac:dyDescent="0.4"/>
  <cols>
    <col min="1" max="1" width="10.25" customWidth="1"/>
    <col min="2" max="2" width="10.625" bestFit="1" customWidth="1"/>
    <col min="3" max="3" width="10.5" bestFit="1" customWidth="1"/>
    <col min="4" max="4" width="10.75" bestFit="1" customWidth="1"/>
    <col min="5" max="5" width="10.25" customWidth="1"/>
  </cols>
  <sheetData>
    <row r="1" spans="1:5" x14ac:dyDescent="0.4">
      <c r="A1" s="8" t="s">
        <v>31</v>
      </c>
      <c r="B1" s="12">
        <v>13</v>
      </c>
      <c r="C1" s="8" t="s">
        <v>18</v>
      </c>
      <c r="D1" s="23" t="str">
        <f>TEXT(_xlfn.XLOOKUP($B$1,tmMeeting[MTG_No],tmMeeting[日付]),"yyyy/m/d(aaa)")</f>
        <v>2023/6/25(日)</v>
      </c>
      <c r="E1" s="23"/>
    </row>
    <row r="3" spans="1:5" ht="37.5" x14ac:dyDescent="0.4">
      <c r="A3" t="s">
        <v>21</v>
      </c>
      <c r="B3" t="s">
        <v>40</v>
      </c>
      <c r="C3" s="11" t="s">
        <v>58</v>
      </c>
      <c r="D3" t="s">
        <v>59</v>
      </c>
      <c r="E3" t="s">
        <v>23</v>
      </c>
    </row>
    <row r="4" spans="1:5" x14ac:dyDescent="0.4">
      <c r="A4">
        <f>_xlfn.XLOOKUP(tRoster[[#This Row],[氏名]],mMember[氏名],mMember[ID],,0)</f>
        <v>202201</v>
      </c>
      <c r="B4" t="s">
        <v>41</v>
      </c>
      <c r="C4">
        <v>1</v>
      </c>
      <c r="D4">
        <v>1</v>
      </c>
      <c r="E4" t="b">
        <v>1</v>
      </c>
    </row>
    <row r="5" spans="1:5" x14ac:dyDescent="0.4">
      <c r="A5">
        <f>_xlfn.XLOOKUP(tRoster[[#This Row],[氏名]],mMember[氏名],mMember[ID],,0)</f>
        <v>202208</v>
      </c>
      <c r="B5" t="s">
        <v>42</v>
      </c>
      <c r="C5">
        <v>1</v>
      </c>
      <c r="D5">
        <v>1</v>
      </c>
      <c r="E5" t="b">
        <v>0</v>
      </c>
    </row>
    <row r="6" spans="1:5" x14ac:dyDescent="0.4">
      <c r="A6">
        <f>_xlfn.XLOOKUP(tRoster[[#This Row],[氏名]],mMember[氏名],mMember[ID],,0)</f>
        <v>202215</v>
      </c>
      <c r="B6" t="s">
        <v>43</v>
      </c>
      <c r="C6">
        <v>0</v>
      </c>
      <c r="D6">
        <v>0</v>
      </c>
      <c r="E6" t="b">
        <v>0</v>
      </c>
    </row>
    <row r="7" spans="1:5" x14ac:dyDescent="0.4">
      <c r="A7">
        <f>_xlfn.XLOOKUP(tRoster[[#This Row],[氏名]],mMember[氏名],mMember[ID],,0)</f>
        <v>202219</v>
      </c>
      <c r="B7" t="s">
        <v>44</v>
      </c>
      <c r="C7">
        <v>1</v>
      </c>
      <c r="D7">
        <v>0</v>
      </c>
      <c r="E7" t="b">
        <v>0</v>
      </c>
    </row>
    <row r="8" spans="1:5" x14ac:dyDescent="0.4">
      <c r="A8">
        <f>_xlfn.XLOOKUP(tRoster[[#This Row],[氏名]],mMember[氏名],mMember[ID],,0)</f>
        <v>202207</v>
      </c>
      <c r="B8" t="s">
        <v>45</v>
      </c>
      <c r="C8">
        <v>1</v>
      </c>
      <c r="D8">
        <v>0</v>
      </c>
      <c r="E8" t="b">
        <v>0</v>
      </c>
    </row>
    <row r="9" spans="1:5" x14ac:dyDescent="0.4">
      <c r="A9">
        <f>_xlfn.XLOOKUP(tRoster[[#This Row],[氏名]],mMember[氏名],mMember[ID],,0)</f>
        <v>202204</v>
      </c>
      <c r="B9" t="s">
        <v>46</v>
      </c>
      <c r="C9">
        <v>1</v>
      </c>
      <c r="D9">
        <v>1</v>
      </c>
      <c r="E9" t="b">
        <v>1</v>
      </c>
    </row>
    <row r="10" spans="1:5" x14ac:dyDescent="0.4">
      <c r="A10">
        <f>_xlfn.XLOOKUP(tRoster[[#This Row],[氏名]],mMember[氏名],mMember[ID],,0)</f>
        <v>202209</v>
      </c>
      <c r="B10" t="s">
        <v>47</v>
      </c>
      <c r="C10">
        <v>1</v>
      </c>
      <c r="D10">
        <v>1</v>
      </c>
      <c r="E10" t="b">
        <v>1</v>
      </c>
    </row>
    <row r="11" spans="1:5" x14ac:dyDescent="0.4">
      <c r="A11">
        <f>_xlfn.XLOOKUP(tRoster[[#This Row],[氏名]],mMember[氏名],mMember[ID],,0)</f>
        <v>202305</v>
      </c>
      <c r="B11" t="s">
        <v>48</v>
      </c>
      <c r="E11" t="b">
        <v>1</v>
      </c>
    </row>
    <row r="12" spans="1:5" x14ac:dyDescent="0.4">
      <c r="A12">
        <f>_xlfn.XLOOKUP(tRoster[[#This Row],[氏名]],mMember[氏名],mMember[ID],,0)</f>
        <v>202307</v>
      </c>
      <c r="B12" t="s">
        <v>49</v>
      </c>
      <c r="E12" t="b">
        <v>1</v>
      </c>
    </row>
    <row r="13" spans="1:5" x14ac:dyDescent="0.4">
      <c r="A13">
        <f>_xlfn.XLOOKUP(tRoster[[#This Row],[氏名]],mMember[氏名],mMember[ID],,0)</f>
        <v>202304</v>
      </c>
      <c r="B13" t="s">
        <v>56</v>
      </c>
      <c r="D13">
        <v>0</v>
      </c>
      <c r="E13" t="b">
        <v>0</v>
      </c>
    </row>
    <row r="14" spans="1:5" x14ac:dyDescent="0.4">
      <c r="A14">
        <f>_xlfn.XLOOKUP(tRoster[[#This Row],[氏名]],mMember[氏名],mMember[ID],,0)</f>
        <v>202301</v>
      </c>
      <c r="B14" t="s">
        <v>55</v>
      </c>
      <c r="D14">
        <v>0</v>
      </c>
      <c r="E14" t="b">
        <v>0</v>
      </c>
    </row>
    <row r="15" spans="1:5" x14ac:dyDescent="0.4">
      <c r="A15">
        <f>_xlfn.XLOOKUP(tRoster[[#This Row],[氏名]],mMember[氏名],mMember[ID],,0)</f>
        <v>202306</v>
      </c>
      <c r="B15" t="s">
        <v>53</v>
      </c>
      <c r="D15">
        <v>0</v>
      </c>
      <c r="E15" t="b">
        <v>0</v>
      </c>
    </row>
    <row r="16" spans="1:5" x14ac:dyDescent="0.4">
      <c r="A16">
        <f>_xlfn.XLOOKUP(tRoster[[#This Row],[氏名]],mMember[氏名],mMember[ID],,0)</f>
        <v>202214</v>
      </c>
      <c r="B16" t="s">
        <v>54</v>
      </c>
      <c r="D16">
        <v>0</v>
      </c>
      <c r="E16" t="b">
        <v>0</v>
      </c>
    </row>
    <row r="17" spans="1:5" x14ac:dyDescent="0.4">
      <c r="A17">
        <f>_xlfn.XLOOKUP(tRoster[[#This Row],[氏名]],mMember[氏名],mMember[ID],,0)</f>
        <v>202211</v>
      </c>
      <c r="B17" t="s">
        <v>52</v>
      </c>
      <c r="D17">
        <v>0</v>
      </c>
      <c r="E17" t="b">
        <v>0</v>
      </c>
    </row>
    <row r="18" spans="1:5" x14ac:dyDescent="0.4">
      <c r="A18">
        <f>_xlfn.XLOOKUP(tRoster[[#This Row],[氏名]],mMember[氏名],mMember[ID],,0)</f>
        <v>202210</v>
      </c>
      <c r="B18" t="s">
        <v>51</v>
      </c>
      <c r="D18">
        <v>0</v>
      </c>
      <c r="E18" t="b">
        <v>0</v>
      </c>
    </row>
    <row r="19" spans="1:5" x14ac:dyDescent="0.4">
      <c r="A19">
        <f>_xlfn.XLOOKUP(tRoster[[#This Row],[氏名]],mMember[氏名],mMember[ID],,0)</f>
        <v>202203</v>
      </c>
      <c r="B19" t="s">
        <v>50</v>
      </c>
      <c r="D19">
        <v>0</v>
      </c>
      <c r="E19" t="b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19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0091-B936-435A-943D-B5896B68312E}">
  <sheetPr codeName="Sheet5"/>
  <dimension ref="A1:G1"/>
  <sheetViews>
    <sheetView workbookViewId="0">
      <selection activeCell="H20" sqref="H20"/>
    </sheetView>
  </sheetViews>
  <sheetFormatPr defaultRowHeight="18.75" x14ac:dyDescent="0.4"/>
  <sheetData>
    <row r="1" spans="1:7" x14ac:dyDescent="0.4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42F6F-78D1-4EEB-8316-E783C77E5535}">
  <sheetPr codeName="Sheet6"/>
  <dimension ref="A1:G1"/>
  <sheetViews>
    <sheetView workbookViewId="0">
      <selection activeCell="H20" sqref="H20"/>
    </sheetView>
  </sheetViews>
  <sheetFormatPr defaultRowHeight="18.75" x14ac:dyDescent="0.4"/>
  <sheetData>
    <row r="1" spans="1:7" x14ac:dyDescent="0.4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4417-C85D-432C-B4AF-A03C890347DC}">
  <sheetPr codeName="Sheet7"/>
  <dimension ref="A1:G1"/>
  <sheetViews>
    <sheetView workbookViewId="0">
      <selection activeCell="B2" sqref="B2"/>
    </sheetView>
  </sheetViews>
  <sheetFormatPr defaultRowHeight="18.75" x14ac:dyDescent="0.4"/>
  <sheetData>
    <row r="1" spans="1:7" x14ac:dyDescent="0.4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5"/>
  <sheetViews>
    <sheetView workbookViewId="0">
      <selection activeCell="E6" sqref="E6"/>
    </sheetView>
  </sheetViews>
  <sheetFormatPr defaultRowHeight="18.75" x14ac:dyDescent="0.4"/>
  <cols>
    <col min="2" max="2" width="9.875" customWidth="1"/>
    <col min="3" max="3" width="10.75" bestFit="1" customWidth="1"/>
    <col min="4" max="4" width="10.75" customWidth="1"/>
  </cols>
  <sheetData>
    <row r="1" spans="1:7" x14ac:dyDescent="0.4">
      <c r="A1" t="s">
        <v>35</v>
      </c>
      <c r="B1" t="s">
        <v>31</v>
      </c>
      <c r="C1" t="s">
        <v>18</v>
      </c>
      <c r="D1" t="s">
        <v>34</v>
      </c>
      <c r="E1" t="s">
        <v>32</v>
      </c>
      <c r="F1" t="s">
        <v>17</v>
      </c>
      <c r="G1" t="s">
        <v>33</v>
      </c>
    </row>
    <row r="2" spans="1:7" x14ac:dyDescent="0.4">
      <c r="A2">
        <v>1</v>
      </c>
      <c r="B2">
        <v>13</v>
      </c>
      <c r="C2" s="3">
        <v>45095</v>
      </c>
      <c r="D2" s="3" t="str">
        <f t="shared" ref="D2:D15" si="0">TEXT(C2,"aaa")</f>
        <v>日</v>
      </c>
    </row>
    <row r="3" spans="1:7" x14ac:dyDescent="0.4">
      <c r="A3">
        <v>2</v>
      </c>
      <c r="B3">
        <v>13</v>
      </c>
      <c r="C3" s="3">
        <v>45102</v>
      </c>
      <c r="D3" s="3" t="str">
        <f t="shared" si="0"/>
        <v>日</v>
      </c>
    </row>
    <row r="4" spans="1:7" x14ac:dyDescent="0.4">
      <c r="A4">
        <v>3</v>
      </c>
      <c r="B4">
        <v>14</v>
      </c>
      <c r="C4" s="3">
        <v>45129</v>
      </c>
      <c r="D4" s="3" t="str">
        <f t="shared" si="0"/>
        <v>土</v>
      </c>
    </row>
    <row r="5" spans="1:7" x14ac:dyDescent="0.4">
      <c r="A5">
        <v>4</v>
      </c>
      <c r="B5">
        <v>14</v>
      </c>
      <c r="C5" s="3">
        <v>45130</v>
      </c>
      <c r="D5" s="3" t="str">
        <f t="shared" si="0"/>
        <v>日</v>
      </c>
    </row>
    <row r="6" spans="1:7" x14ac:dyDescent="0.4">
      <c r="A6">
        <v>5</v>
      </c>
      <c r="B6">
        <v>14</v>
      </c>
      <c r="C6" s="3">
        <v>45136</v>
      </c>
      <c r="D6" s="3" t="str">
        <f t="shared" si="0"/>
        <v>土</v>
      </c>
    </row>
    <row r="7" spans="1:7" x14ac:dyDescent="0.4">
      <c r="A7">
        <v>6</v>
      </c>
      <c r="B7">
        <v>14</v>
      </c>
      <c r="C7" s="3">
        <v>45137</v>
      </c>
      <c r="D7" s="3" t="str">
        <f t="shared" si="0"/>
        <v>日</v>
      </c>
    </row>
    <row r="8" spans="1:7" x14ac:dyDescent="0.4">
      <c r="A8">
        <v>7</v>
      </c>
      <c r="B8">
        <v>15</v>
      </c>
      <c r="C8" s="3">
        <v>45143</v>
      </c>
      <c r="D8" s="3" t="str">
        <f t="shared" si="0"/>
        <v>土</v>
      </c>
    </row>
    <row r="9" spans="1:7" x14ac:dyDescent="0.4">
      <c r="A9">
        <v>8</v>
      </c>
      <c r="B9">
        <v>15</v>
      </c>
      <c r="C9" s="3">
        <v>45144</v>
      </c>
      <c r="D9" s="3" t="str">
        <f t="shared" si="0"/>
        <v>日</v>
      </c>
    </row>
    <row r="10" spans="1:7" x14ac:dyDescent="0.4">
      <c r="A10">
        <v>9</v>
      </c>
      <c r="B10">
        <v>15</v>
      </c>
      <c r="C10" s="3">
        <v>45157</v>
      </c>
      <c r="D10" s="3" t="str">
        <f t="shared" si="0"/>
        <v>土</v>
      </c>
    </row>
    <row r="11" spans="1:7" x14ac:dyDescent="0.4">
      <c r="A11">
        <v>10</v>
      </c>
      <c r="B11">
        <v>15</v>
      </c>
      <c r="C11" s="3">
        <v>45158</v>
      </c>
      <c r="D11" s="3" t="str">
        <f t="shared" si="0"/>
        <v>日</v>
      </c>
    </row>
    <row r="12" spans="1:7" x14ac:dyDescent="0.4">
      <c r="A12">
        <v>11</v>
      </c>
      <c r="B12">
        <v>15</v>
      </c>
      <c r="C12" s="3">
        <v>45165</v>
      </c>
      <c r="D12" s="3" t="str">
        <f t="shared" si="0"/>
        <v>日</v>
      </c>
    </row>
    <row r="13" spans="1:7" x14ac:dyDescent="0.4">
      <c r="A13">
        <v>12</v>
      </c>
      <c r="B13">
        <v>16</v>
      </c>
      <c r="C13" s="3">
        <v>45179</v>
      </c>
      <c r="D13" s="3" t="str">
        <f t="shared" si="0"/>
        <v>日</v>
      </c>
    </row>
    <row r="14" spans="1:7" x14ac:dyDescent="0.4">
      <c r="A14">
        <v>13</v>
      </c>
      <c r="B14">
        <v>16</v>
      </c>
      <c r="C14" s="3">
        <v>45192</v>
      </c>
      <c r="D14" s="3" t="str">
        <f t="shared" si="0"/>
        <v>土</v>
      </c>
    </row>
    <row r="15" spans="1:7" x14ac:dyDescent="0.4">
      <c r="A15">
        <v>14</v>
      </c>
      <c r="B15">
        <v>16</v>
      </c>
      <c r="C15" s="3">
        <v>45193</v>
      </c>
      <c r="D15" s="3" t="str">
        <f t="shared" si="0"/>
        <v>日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J15" sqref="J15"/>
    </sheetView>
  </sheetViews>
  <sheetFormatPr defaultRowHeight="18.75" x14ac:dyDescent="0.4"/>
  <cols>
    <col min="1" max="1" width="9.875" customWidth="1"/>
    <col min="3" max="3" width="10.75" bestFit="1" customWidth="1"/>
    <col min="4" max="4" width="12.5" bestFit="1" customWidth="1"/>
    <col min="5" max="5" width="12.75" customWidth="1"/>
    <col min="6" max="6" width="9.75" customWidth="1"/>
  </cols>
  <sheetData>
    <row r="1" spans="1:5" x14ac:dyDescent="0.4">
      <c r="A1" s="7" t="s">
        <v>31</v>
      </c>
      <c r="B1" s="9">
        <f>_xlfn.XLOOKUP($D$1,tmMeeting[日付],tmMeeting[MTG_No],"",1,1)</f>
        <v>16</v>
      </c>
      <c r="C1" s="7" t="s">
        <v>57</v>
      </c>
      <c r="D1" s="6">
        <v>45170</v>
      </c>
    </row>
    <row r="2" spans="1:5" ht="14.25" customHeight="1" x14ac:dyDescent="0.4">
      <c r="A2" s="5"/>
      <c r="D2" s="4"/>
    </row>
    <row r="3" spans="1:5" x14ac:dyDescent="0.4">
      <c r="A3" t="s">
        <v>35</v>
      </c>
      <c r="B3" t="s">
        <v>18</v>
      </c>
      <c r="C3" t="s">
        <v>37</v>
      </c>
      <c r="D3" t="s">
        <v>36</v>
      </c>
      <c r="E3" t="s">
        <v>38</v>
      </c>
    </row>
    <row r="4" spans="1:5" x14ac:dyDescent="0.4">
      <c r="A4">
        <f>_xlfn.XLOOKUP(tMtgDatePick[[#This Row],[日付]],tmMtgDateNom[日付],tmMtgDateNom[NomID])</f>
        <v>12</v>
      </c>
      <c r="B4" s="10">
        <v>45179</v>
      </c>
      <c r="C4">
        <f>_xlfn.XLOOKUP(tMtgDatePick[[#This Row],[氏名]],mMember[氏名],mMember[ID],"")</f>
        <v>202201</v>
      </c>
      <c r="D4" t="s">
        <v>41</v>
      </c>
      <c r="E4">
        <v>1</v>
      </c>
    </row>
    <row r="5" spans="1:5" x14ac:dyDescent="0.4">
      <c r="A5">
        <f>_xlfn.XLOOKUP(tMtgDatePick[[#This Row],[日付]],tmMtgDateNom[日付],tmMtgDateNom[NomID])</f>
        <v>12</v>
      </c>
      <c r="B5" s="10">
        <v>45179</v>
      </c>
      <c r="C5">
        <f>_xlfn.XLOOKUP(tMtgDatePick[[#This Row],[氏名]],mMember[氏名],mMember[ID],"")</f>
        <v>202204</v>
      </c>
      <c r="D5" t="s">
        <v>46</v>
      </c>
      <c r="E5">
        <v>1</v>
      </c>
    </row>
    <row r="6" spans="1:5" x14ac:dyDescent="0.4">
      <c r="A6">
        <f>_xlfn.XLOOKUP(tMtgDatePick[[#This Row],[日付]],tmMtgDateNom[日付],tmMtgDateNom[NomID])</f>
        <v>12</v>
      </c>
      <c r="B6" s="10">
        <v>45179</v>
      </c>
      <c r="C6">
        <f>_xlfn.XLOOKUP(tMtgDatePick[[#This Row],[氏名]],mMember[氏名],mMember[ID],"")</f>
        <v>202301</v>
      </c>
      <c r="D6" t="s">
        <v>55</v>
      </c>
      <c r="E6">
        <v>1</v>
      </c>
    </row>
    <row r="7" spans="1:5" x14ac:dyDescent="0.4">
      <c r="A7">
        <f>_xlfn.XLOOKUP(tMtgDatePick[[#This Row],[日付]],tmMtgDateNom[日付],tmMtgDateNom[NomID])</f>
        <v>13</v>
      </c>
      <c r="B7" s="10">
        <v>45192</v>
      </c>
      <c r="C7">
        <f>_xlfn.XLOOKUP(tMtgDatePick[[#This Row],[氏名]],mMember[氏名],mMember[ID],"")</f>
        <v>202201</v>
      </c>
      <c r="D7" t="s">
        <v>41</v>
      </c>
      <c r="E7">
        <v>1</v>
      </c>
    </row>
    <row r="8" spans="1:5" x14ac:dyDescent="0.4">
      <c r="A8">
        <f>_xlfn.XLOOKUP(tMtgDatePick[[#This Row],[日付]],tmMtgDateNom[日付],tmMtgDateNom[NomID])</f>
        <v>13</v>
      </c>
      <c r="B8" s="10">
        <v>45192</v>
      </c>
      <c r="C8">
        <f>_xlfn.XLOOKUP(tMtgDatePick[[#This Row],[氏名]],mMember[氏名],mMember[ID],"")</f>
        <v>202204</v>
      </c>
      <c r="D8" t="s">
        <v>46</v>
      </c>
      <c r="E8">
        <v>1</v>
      </c>
    </row>
    <row r="9" spans="1:5" x14ac:dyDescent="0.4">
      <c r="A9">
        <f>_xlfn.XLOOKUP(tMtgDatePick[[#This Row],[日付]],tmMtgDateNom[日付],tmMtgDateNom[NomID])</f>
        <v>13</v>
      </c>
      <c r="B9" s="10">
        <v>45192</v>
      </c>
      <c r="C9">
        <f>_xlfn.XLOOKUP(tMtgDatePick[[#This Row],[氏名]],mMember[氏名],mMember[ID],"")</f>
        <v>202301</v>
      </c>
      <c r="D9" t="s">
        <v>55</v>
      </c>
      <c r="E9">
        <v>0</v>
      </c>
    </row>
    <row r="10" spans="1:5" x14ac:dyDescent="0.4">
      <c r="A10">
        <f>_xlfn.XLOOKUP(tMtgDatePick[[#This Row],[日付]],tmMtgDateNom[日付],tmMtgDateNom[NomID])</f>
        <v>14</v>
      </c>
      <c r="B10" s="10">
        <v>45193</v>
      </c>
      <c r="C10">
        <f>_xlfn.XLOOKUP(tMtgDatePick[[#This Row],[氏名]],mMember[氏名],mMember[ID],"")</f>
        <v>202201</v>
      </c>
      <c r="D10" t="s">
        <v>41</v>
      </c>
      <c r="E10">
        <v>1</v>
      </c>
    </row>
    <row r="11" spans="1:5" x14ac:dyDescent="0.4">
      <c r="A11">
        <f>_xlfn.XLOOKUP(tMtgDatePick[[#This Row],[日付]],tmMtgDateNom[日付],tmMtgDateNom[NomID])</f>
        <v>14</v>
      </c>
      <c r="B11" s="10">
        <v>45193</v>
      </c>
      <c r="C11">
        <f>_xlfn.XLOOKUP(tMtgDatePick[[#This Row],[氏名]],mMember[氏名],mMember[ID],"")</f>
        <v>202204</v>
      </c>
      <c r="D11" t="s">
        <v>46</v>
      </c>
      <c r="E11">
        <v>1</v>
      </c>
    </row>
    <row r="12" spans="1:5" x14ac:dyDescent="0.4">
      <c r="A12">
        <f>_xlfn.XLOOKUP(tMtgDatePick[[#This Row],[日付]],tmMtgDateNom[日付],tmMtgDateNom[NomID])</f>
        <v>14</v>
      </c>
      <c r="B12" s="10">
        <v>45193</v>
      </c>
      <c r="C12">
        <f>_xlfn.XLOOKUP(tMtgDatePick[[#This Row],[氏名]],mMember[氏名],mMember[ID],"")</f>
        <v>202301</v>
      </c>
      <c r="D12" t="s">
        <v>55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Sheet1</vt:lpstr>
      <vt:lpstr>Home</vt:lpstr>
      <vt:lpstr>mMember</vt:lpstr>
      <vt:lpstr>tmMeeting</vt:lpstr>
      <vt:lpstr>tRoster2306</vt:lpstr>
      <vt:lpstr>tRoster2307</vt:lpstr>
      <vt:lpstr>tRoster2308</vt:lpstr>
      <vt:lpstr>tRoster2309</vt:lpstr>
      <vt:lpstr>tmMtgDateNom</vt:lpstr>
      <vt:lpstr>tMtgDatePick</vt:lpstr>
      <vt:lpstr>nextMtgDate</vt:lpstr>
      <vt:lpstr>nextMtgNo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2023-07-02T08:04:51Z</dcterms:modified>
</cp:coreProperties>
</file>