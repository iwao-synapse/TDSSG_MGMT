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0143ACAC-2B9C-4B78-AD6A-B33498E7130F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E5" i="1"/>
  <c r="C6" i="1"/>
  <c r="E4" i="1"/>
  <c r="H4" i="1" s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<sst xmlns="http://schemas.openxmlformats.org/spreadsheetml/2006/main" count="320" uniqueCount="204">
  <si>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</si>
  <si>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</si>
  <si>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</si>
  <si>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</si>
  <si>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</si>
  <si>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</si>
  <si>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</si>
  <si>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</si>
  <si>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</si>
  <si>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</si>
  <si>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</si>
  <si>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</si>
  <si>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</si>
  <si>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</si>
  <si>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</si>
  <si>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</si>
  <si>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</si>
  <si>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</si>
  <si>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</si>
  <si>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</si>
  <si>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</si>
  <si>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</si>
  <si>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</si>
  <si>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</si>
  <si>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</si>
  <si>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</si>
  <si>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</si>
  <si>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</si>
  <si>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</si>
  <si>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</si>
  <si>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</si>
  <si>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</si>
  <si>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</si>
  <si>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</si>
  <si>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</si>
  <si>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</si>
  <si>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</si>
  <si>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</si>
  <si>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</si>
  <si>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</si>
  <si>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</si>
  <si>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</si>
  <si>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</si>
  <si>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</si>
  <si>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</si>
  <si>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</si>
  <si>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</si>
  <si>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</si>
  <si>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</si>
  <si>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</si>
  <si>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</si>
  <si>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</si>
  <si>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</si>
  <si>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</si>
  <si>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</si>
  <si>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</si>
  <si>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</si>
  <si>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</si>
  <si>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</si>
  <si>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</si>
  <si>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</si>
  <si>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</si>
  <si>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</si>
  <si>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</si>
  <si>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</si>
  <si>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</si>
  <si>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</si>
  <si>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</si>
  <si>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</si>
  <si>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</si>
  <si>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</si>
  <si>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</si>
  <si>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</si>
  <si>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</si>
  <si>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</si>
  <si>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</si>
  <si>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</si>
  <si>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</si>
  <si>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</si>
  <si>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</si>
  <si>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</si>
  <si>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</si>
  <si>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</si>
  <si>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</si>
  <si>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</si>
  <si>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</si>
  <si>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</si>
  <si>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</si>
  <si>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</si>
  <si>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</si>
  <si>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</si>
  <si>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</si>
  <si>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</si>
  <si>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</si>
  <si>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</si>
  <si>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</si>
  <si>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</si>
  <si>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</si>
  <si>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</si>
  <si>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</si>
  <si>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</si>
  <si>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</si>
  <si>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</si>
  <si>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</si>
  <si>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</si>
  <si>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</si>
  <si>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</si>
  <si>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</si>
  <si>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</si>
  <si>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</si>
  <si>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</si>
  <si>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</si>
  <si>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</si>
  <si>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</si>
  <si>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</si>
  <si>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</si>
  <si>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</si>
  <si>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</si>
  <si>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</si>
  <si>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</si>
  <si>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</si>
  <si>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</si>
  <si>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</si>
  <si>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</si>
  <si>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</si>
  <si>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</si>
  <si>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</si>
  <si>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</si>
  <si>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</si>
  <si>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</si>
  <si>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</si>
  <si>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</si>
  <si>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</si>
  <si>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</si>
  <si>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</si>
  <si>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</si>
  <si>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</si>
  <si>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</si>
  <si>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</si>
  <si>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</si>
  <si>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</si>
  <si>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</si>
  <si>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</si>
  <si>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</si>
  <si>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</si>
  <si>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</si>
  <si>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</si>
  <si>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</si>
  <si>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</si>
  <si>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</si>
  <si>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</si>
  <si>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</si>
  <si>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</si>
  <si>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</si>
  <si>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</si>
  <si>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</si>
  <si>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</si>
  <si>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</si>
  <si>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</si>
  <si>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</si>
  <si>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</si>
  <si>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</si>
  <si>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</si>
  <si>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</si>
  <si>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</si>
  <si>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</si>
  <si>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</si>
  <si>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</si>
  <si>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</si>
  <si>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</si>
  <si>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</si>
  <si>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</si>
  <si>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</si>
  <si>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</si>
  <si>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</si>
  <si>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</si>
  <si>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</si>
  <si>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</si>
  <si>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</si>
  <si>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</si>
  <si>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</si>
  <si>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</si>
  <si>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</si>
  <si>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</si>
  <si>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</si>
  <si>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</si>
  <si>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</si>
  <si>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</si>
  <si>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</si>
  <si>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</si>
  <si>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</si>
  <si>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</si>
  <si>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</si>
  <si>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</si>
  <si>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</si>
  <si>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</si>
  <si>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</si>
  <si>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</si>
  <si>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</si>
  <si>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</si>
  <si>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</si>
  <si>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</si>
  <si>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</si>
  <si>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2023/10/15(日)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</si>
</sst>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90.916041087963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1" maxValue="22"/>
    </cacheField>
    <cacheField name="日付" numFmtId="179">
      <sharedItems containsSemiMixedTypes="0" containsNonDate="0" containsDate="1" containsString="0" minDate="2023-09-10T00:00:00" maxDate="2023-11-06T00:00:00" count="11">
        <d v="2023-11-04T00:00:00"/>
        <d v="2023-11-05T00:00:00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303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中安 言"/>
        <s v="篠ヶ瀬 将之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1"/>
    <x v="0"/>
    <n v="202201"/>
    <x v="0"/>
    <n v="1"/>
  </r>
  <r>
    <n v="21"/>
    <x v="0"/>
    <n v="202203"/>
    <x v="1"/>
    <n v="1"/>
  </r>
  <r>
    <n v="21"/>
    <x v="0"/>
    <n v="202204"/>
    <x v="2"/>
    <n v="1"/>
  </r>
  <r>
    <n v="21"/>
    <x v="0"/>
    <n v="202209"/>
    <x v="3"/>
    <n v="1"/>
  </r>
  <r>
    <n v="21"/>
    <x v="0"/>
    <n v="202210"/>
    <x v="4"/>
    <n v="0.5"/>
  </r>
  <r>
    <n v="21"/>
    <x v="0"/>
    <n v="202211"/>
    <x v="5"/>
    <n v="0"/>
  </r>
  <r>
    <n v="21"/>
    <x v="0"/>
    <n v="202219"/>
    <x v="6"/>
    <n v="1"/>
  </r>
  <r>
    <n v="21"/>
    <x v="0"/>
    <n v="202303"/>
    <x v="7"/>
    <n v="1"/>
  </r>
  <r>
    <n v="22"/>
    <x v="1"/>
    <n v="202201"/>
    <x v="0"/>
    <n v="1"/>
  </r>
  <r>
    <n v="22"/>
    <x v="1"/>
    <n v="202203"/>
    <x v="1"/>
    <n v="1"/>
  </r>
  <r>
    <n v="22"/>
    <x v="1"/>
    <n v="202204"/>
    <x v="2"/>
    <n v="1"/>
  </r>
  <r>
    <n v="22"/>
    <x v="1"/>
    <n v="202209"/>
    <x v="3"/>
    <n v="1"/>
  </r>
  <r>
    <n v="22"/>
    <x v="1"/>
    <n v="202210"/>
    <x v="4"/>
    <n v="0"/>
  </r>
  <r>
    <n v="22"/>
    <x v="1"/>
    <n v="202211"/>
    <x v="5"/>
    <n v="0.5"/>
  </r>
  <r>
    <n v="22"/>
    <x v="1"/>
    <n v="202219"/>
    <x v="6"/>
    <n v="0"/>
  </r>
  <r>
    <n v="22"/>
    <x v="1"/>
    <n v="202303"/>
    <x v="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2">
        <item m="1" x="8"/>
        <item m="1" x="2"/>
        <item m="1" x="6"/>
        <item m="1" x="5"/>
        <item m="1" x="10"/>
        <item m="1" x="4"/>
        <item m="1" x="9"/>
        <item m="1" x="3"/>
        <item m="1" x="7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x="7"/>
        <item m="1" x="11"/>
        <item x="4"/>
        <item x="3"/>
        <item m="1" x="8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5"/>
    </i>
    <i>
      <x v="7"/>
    </i>
    <i>
      <x v="8"/>
    </i>
    <i>
      <x v="10"/>
    </i>
    <i>
      <x v="11"/>
    </i>
    <i t="grand">
      <x/>
    </i>
  </rowItems>
  <colFields count="1">
    <field x="1"/>
  </colFields>
  <colItems count="3">
    <i>
      <x v="9"/>
    </i>
    <i>
      <x v="10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0" totalsRowShown="0" dataDxfId="49">
  <autoFilter ref="A1:M30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9" totalsRowShown="0" dataDxfId="35">
  <autoFilter ref="A1:H19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6">
  <autoFilter ref="A1:G13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18">
  <autoFilter ref="A3:E19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12">
  <autoFilter ref="A4:B8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I6" sqref="I6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  <c r="F4">
        <v>4</v>
      </c>
      <c r="G4" s="20">
        <f>F4/D4</f>
        <v>0.4</v>
      </c>
      <c r="H4" s="2">
        <f>F4/E4</f>
        <v>0.13793103448275862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3.5</v>
      </c>
      <c r="E5">
        <f>COUNTIFS(mMember[入会年月日],"&lt;="&amp;A5,mMember[退会年月日],"&gt;"&amp;A5)</f>
        <v>29</v>
      </c>
      <c r="I5">
        <v>24</v>
      </c>
    </row>
    <row r="6" spans="1:10" x14ac:dyDescent="0.25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57</v>
      </c>
      <c r="C2" s="8"/>
      <c r="D2" s="8"/>
    </row>
    <row r="3" spans="2:4" x14ac:dyDescent="0.25">
      <c r="B3" s="9" t="s">
        <v>56</v>
      </c>
      <c r="C3" s="24" t="s">
        <v>58</v>
      </c>
      <c r="D3" s="25"/>
    </row>
    <row r="4" spans="2:4" x14ac:dyDescent="0.25">
      <c r="B4" s="10">
        <v>17</v>
      </c>
      <c r="C4" s="26" t="s">
        <v>203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0"/>
  <sheetViews>
    <sheetView workbookViewId="0">
      <selection activeCell="L2" sqref="L2:L30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202</v>
      </c>
      <c r="M1" t="s">
        <v>21</v>
      </c>
    </row>
    <row r="2" spans="1:13" x14ac:dyDescent="0.25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200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165</v>
      </c>
    </row>
    <row r="27" spans="1:13" x14ac:dyDescent="0.25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9"/>
  <sheetViews>
    <sheetView workbookViewId="0">
      <selection activeCell="D3" sqref="D3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18</v>
      </c>
      <c r="B2" s="21">
        <v>45234</v>
      </c>
      <c r="C2" s="13" t="s">
        <v>183</v>
      </c>
      <c r="D2" s="13" t="s">
        <v>185</v>
      </c>
      <c r="E2" s="23">
        <v>0.4375</v>
      </c>
      <c r="F2" s="13">
        <v>2</v>
      </c>
      <c r="G2" s="11">
        <v>2280</v>
      </c>
      <c r="H2" s="21">
        <v>45190</v>
      </c>
    </row>
    <row r="3" spans="1:8" x14ac:dyDescent="0.25">
      <c r="A3" s="13">
        <v>17</v>
      </c>
      <c r="B3" s="21">
        <v>45214</v>
      </c>
      <c r="C3" s="13" t="s">
        <v>183</v>
      </c>
      <c r="D3" s="13" t="s">
        <v>198</v>
      </c>
      <c r="E3" s="23">
        <v>0.39583333333333331</v>
      </c>
      <c r="F3" s="13">
        <v>1</v>
      </c>
      <c r="G3" s="11">
        <v>960</v>
      </c>
      <c r="H3" s="21">
        <v>45159</v>
      </c>
    </row>
    <row r="4" spans="1:8" x14ac:dyDescent="0.25">
      <c r="A4" s="13">
        <v>16</v>
      </c>
      <c r="B4" s="21">
        <v>45192</v>
      </c>
      <c r="C4" s="13" t="s">
        <v>183</v>
      </c>
      <c r="D4" s="13" t="s">
        <v>198</v>
      </c>
      <c r="E4" s="23">
        <v>0.4375</v>
      </c>
      <c r="F4" s="13">
        <v>2</v>
      </c>
      <c r="G4" s="11">
        <v>2280</v>
      </c>
      <c r="H4" s="21">
        <v>45128</v>
      </c>
    </row>
    <row r="5" spans="1:8" x14ac:dyDescent="0.25">
      <c r="A5" s="13">
        <v>15</v>
      </c>
      <c r="B5" s="21">
        <v>45158</v>
      </c>
      <c r="C5" s="13" t="s">
        <v>183</v>
      </c>
      <c r="D5" s="13" t="s">
        <v>184</v>
      </c>
      <c r="E5" s="23">
        <v>0.54166666666666663</v>
      </c>
      <c r="F5" s="13">
        <v>1</v>
      </c>
      <c r="G5" s="11">
        <v>2160</v>
      </c>
      <c r="H5" s="21">
        <v>45102</v>
      </c>
    </row>
    <row r="6" spans="1:8" x14ac:dyDescent="0.25">
      <c r="A6" s="13">
        <v>14</v>
      </c>
      <c r="B6" s="21">
        <v>45129</v>
      </c>
      <c r="C6" s="13" t="s">
        <v>183</v>
      </c>
      <c r="D6" s="13" t="s">
        <v>184</v>
      </c>
      <c r="E6" s="23">
        <v>0.39583333333333331</v>
      </c>
      <c r="F6" s="13">
        <v>1</v>
      </c>
      <c r="G6" s="11">
        <v>1440</v>
      </c>
      <c r="H6" s="21">
        <v>45068</v>
      </c>
    </row>
    <row r="7" spans="1:8" x14ac:dyDescent="0.25">
      <c r="A7" s="13">
        <v>13</v>
      </c>
      <c r="B7" s="21">
        <v>45102</v>
      </c>
      <c r="C7" s="13" t="s">
        <v>183</v>
      </c>
      <c r="D7" s="13" t="s">
        <v>184</v>
      </c>
      <c r="E7" s="23">
        <v>0.4375</v>
      </c>
      <c r="F7" s="13">
        <v>2</v>
      </c>
      <c r="G7" s="11">
        <v>3600</v>
      </c>
      <c r="H7" s="21">
        <v>45038</v>
      </c>
    </row>
    <row r="8" spans="1:8" x14ac:dyDescent="0.25">
      <c r="A8" s="13">
        <v>12</v>
      </c>
      <c r="B8" s="21">
        <v>45066</v>
      </c>
      <c r="C8" s="13" t="s">
        <v>183</v>
      </c>
      <c r="D8" s="13" t="s">
        <v>189</v>
      </c>
      <c r="E8" s="23">
        <v>0.4375</v>
      </c>
      <c r="F8" s="13">
        <v>2</v>
      </c>
      <c r="G8" s="11">
        <v>2760</v>
      </c>
      <c r="H8" s="21">
        <v>45005</v>
      </c>
    </row>
    <row r="9" spans="1:8" x14ac:dyDescent="0.25">
      <c r="A9" s="13">
        <v>11</v>
      </c>
      <c r="B9" s="21">
        <v>45025</v>
      </c>
      <c r="C9" s="13" t="s">
        <v>183</v>
      </c>
      <c r="D9" s="13" t="s">
        <v>184</v>
      </c>
      <c r="E9" s="23">
        <v>0.4375</v>
      </c>
      <c r="F9" s="13">
        <v>2</v>
      </c>
      <c r="G9" s="11">
        <v>3600</v>
      </c>
      <c r="H9" s="21"/>
    </row>
    <row r="10" spans="1:8" x14ac:dyDescent="0.25">
      <c r="A10" s="13">
        <v>10</v>
      </c>
      <c r="B10" s="21">
        <v>44997</v>
      </c>
      <c r="C10" s="13" t="s">
        <v>183</v>
      </c>
      <c r="D10" s="13" t="s">
        <v>184</v>
      </c>
      <c r="E10" s="23">
        <v>0.4375</v>
      </c>
      <c r="F10" s="13">
        <v>2</v>
      </c>
      <c r="G10" s="11">
        <v>3600</v>
      </c>
      <c r="H10" s="21"/>
    </row>
    <row r="11" spans="1:8" x14ac:dyDescent="0.25">
      <c r="A11" s="13">
        <v>9</v>
      </c>
      <c r="B11" s="21">
        <v>44982</v>
      </c>
      <c r="C11" s="13" t="s">
        <v>188</v>
      </c>
      <c r="D11" s="13"/>
      <c r="E11" s="23"/>
      <c r="F11" s="13"/>
      <c r="G11" s="11"/>
      <c r="H11" s="21"/>
    </row>
    <row r="12" spans="1:8" x14ac:dyDescent="0.25">
      <c r="A12" s="13">
        <v>8</v>
      </c>
      <c r="B12" s="21">
        <v>44941</v>
      </c>
      <c r="C12" s="13" t="s">
        <v>183</v>
      </c>
      <c r="D12" s="13" t="s">
        <v>187</v>
      </c>
      <c r="E12" s="23">
        <v>0.54166666666666663</v>
      </c>
      <c r="F12" s="13">
        <v>1</v>
      </c>
      <c r="G12" s="11"/>
      <c r="H12" s="21"/>
    </row>
    <row r="13" spans="1:8" x14ac:dyDescent="0.25">
      <c r="A13" s="13">
        <v>7</v>
      </c>
      <c r="B13" s="21">
        <v>44906</v>
      </c>
      <c r="C13" s="13" t="s">
        <v>186</v>
      </c>
      <c r="D13" s="13">
        <v>8303</v>
      </c>
      <c r="E13" s="23">
        <v>0.4375</v>
      </c>
      <c r="F13" s="13"/>
      <c r="G13" s="11"/>
      <c r="H13" s="21"/>
    </row>
    <row r="14" spans="1:8" x14ac:dyDescent="0.25">
      <c r="A14" s="13">
        <v>6</v>
      </c>
      <c r="B14" s="21">
        <v>44884</v>
      </c>
      <c r="C14" s="13" t="s">
        <v>186</v>
      </c>
      <c r="D14" s="13">
        <v>8502</v>
      </c>
      <c r="E14" s="23">
        <v>0.4375</v>
      </c>
      <c r="F14" s="13"/>
      <c r="G14" s="11"/>
      <c r="H14" s="21"/>
    </row>
    <row r="15" spans="1:8" x14ac:dyDescent="0.25">
      <c r="A15" s="13">
        <v>5</v>
      </c>
      <c r="B15" s="21">
        <v>44864</v>
      </c>
      <c r="C15" s="13" t="s">
        <v>183</v>
      </c>
      <c r="D15" s="13" t="s">
        <v>184</v>
      </c>
      <c r="E15" s="23">
        <v>0.4375</v>
      </c>
      <c r="F15" s="13">
        <v>2</v>
      </c>
      <c r="G15" s="11"/>
      <c r="H15" s="21"/>
    </row>
    <row r="16" spans="1:8" x14ac:dyDescent="0.25">
      <c r="A16" s="13">
        <v>4</v>
      </c>
      <c r="B16" s="21">
        <v>44827</v>
      </c>
      <c r="C16" s="13" t="s">
        <v>183</v>
      </c>
      <c r="D16" s="13" t="s">
        <v>185</v>
      </c>
      <c r="E16" s="23">
        <v>0.4375</v>
      </c>
      <c r="F16" s="13">
        <v>2</v>
      </c>
      <c r="G16" s="11"/>
      <c r="H16" s="21"/>
    </row>
    <row r="17" spans="1:8" x14ac:dyDescent="0.25">
      <c r="A17" s="13">
        <v>3</v>
      </c>
      <c r="B17" s="21">
        <v>44794</v>
      </c>
      <c r="C17" s="13" t="s">
        <v>183</v>
      </c>
      <c r="D17" s="13" t="s">
        <v>185</v>
      </c>
      <c r="E17" s="23">
        <v>0.4375</v>
      </c>
      <c r="F17" s="13">
        <v>2</v>
      </c>
      <c r="G17" s="11"/>
      <c r="H17" s="21"/>
    </row>
    <row r="18" spans="1:8" x14ac:dyDescent="0.25">
      <c r="A18" s="13">
        <v>2</v>
      </c>
      <c r="B18" s="21">
        <v>44772</v>
      </c>
      <c r="C18" s="13" t="s">
        <v>183</v>
      </c>
      <c r="D18" s="13" t="s">
        <v>185</v>
      </c>
      <c r="E18" s="23">
        <v>0.4375</v>
      </c>
      <c r="F18" s="13"/>
      <c r="G18" s="11"/>
      <c r="H18" s="21"/>
    </row>
    <row r="19" spans="1:8" x14ac:dyDescent="0.25">
      <c r="A19" s="13">
        <v>1</v>
      </c>
      <c r="B19" s="21">
        <v>44738</v>
      </c>
      <c r="C19" s="13" t="s">
        <v>183</v>
      </c>
      <c r="D19" s="13" t="s">
        <v>184</v>
      </c>
      <c r="E19" s="23">
        <v>0.4375</v>
      </c>
      <c r="F19" s="13">
        <v>1</v>
      </c>
      <c r="G19" s="11"/>
      <c r="H19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D11" sqref="D11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17</v>
      </c>
      <c r="C1" s="5" t="s">
        <v>16</v>
      </c>
      <c r="D1" s="28" t="str">
        <f>TEXT(_xlfn.XLOOKUP($B$1,tmMeeting[MTG_No],tmMeeting[日付]),"yyyy/m/d(aaa)")</f>
        <v>2023/10/15(日)</v>
      </c>
      <c r="E1" s="28"/>
    </row>
    <row r="3" spans="1:5" ht="31.5" x14ac:dyDescent="0.25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 x14ac:dyDescent="0.25">
      <c r="A4" s="30">
        <v>202201</v>
      </c>
      <c r="B4" s="31" t="s">
        <v>38</v>
      </c>
      <c r="C4" s="32">
        <v>1</v>
      </c>
      <c r="D4" s="31"/>
      <c r="E4" s="31"/>
    </row>
    <row r="5" spans="1:5" x14ac:dyDescent="0.25">
      <c r="A5" s="30">
        <v>202209</v>
      </c>
      <c r="B5" s="31" t="s">
        <v>44</v>
      </c>
      <c r="C5" s="31">
        <v>1</v>
      </c>
      <c r="D5" s="31"/>
      <c r="E5" s="31"/>
    </row>
    <row r="6" spans="1:5" x14ac:dyDescent="0.25">
      <c r="A6" s="30">
        <v>202203</v>
      </c>
      <c r="B6" s="31" t="s">
        <v>47</v>
      </c>
      <c r="C6" s="31">
        <v>1</v>
      </c>
      <c r="D6" s="31"/>
      <c r="E6" s="31"/>
    </row>
    <row r="7" spans="1:5" x14ac:dyDescent="0.25">
      <c r="A7" s="30">
        <v>202204</v>
      </c>
      <c r="B7" s="31" t="s">
        <v>43</v>
      </c>
      <c r="C7" s="31">
        <v>1</v>
      </c>
      <c r="D7" s="31"/>
      <c r="E7" s="31"/>
    </row>
    <row r="8" spans="1:5" x14ac:dyDescent="0.25">
      <c r="A8" s="30">
        <v>202210</v>
      </c>
      <c r="B8" s="31" t="s">
        <v>48</v>
      </c>
      <c r="C8" s="31">
        <v>0</v>
      </c>
      <c r="D8" s="31"/>
      <c r="E8" s="31"/>
    </row>
    <row r="9" spans="1:5" x14ac:dyDescent="0.25">
      <c r="A9" s="30">
        <v>202303</v>
      </c>
      <c r="B9" s="31" t="s">
        <v>161</v>
      </c>
      <c r="C9" s="31">
        <v>1</v>
      </c>
      <c r="D9" s="31"/>
      <c r="E9" s="31"/>
    </row>
    <row r="10" spans="1:5" x14ac:dyDescent="0.25">
      <c r="A10" s="30">
        <v>202207</v>
      </c>
      <c r="B10" s="31" t="s">
        <v>42</v>
      </c>
      <c r="C10" s="31"/>
      <c r="D10" s="31">
        <v>0</v>
      </c>
      <c r="E10" s="31"/>
    </row>
    <row r="11" spans="1:5" x14ac:dyDescent="0.25">
      <c r="A11" s="30">
        <v>202304</v>
      </c>
      <c r="B11" s="31" t="s">
        <v>200</v>
      </c>
      <c r="C11" s="31"/>
      <c r="D11" s="31"/>
      <c r="E11" s="31"/>
    </row>
    <row r="12" spans="1:5" x14ac:dyDescent="0.25">
      <c r="A12" s="30">
        <v>202305</v>
      </c>
      <c r="B12" s="31" t="s">
        <v>45</v>
      </c>
      <c r="C12" s="31"/>
      <c r="D12" s="31"/>
      <c r="E12" s="31"/>
    </row>
    <row r="13" spans="1:5" x14ac:dyDescent="0.25">
      <c r="A13" s="30">
        <v>202211</v>
      </c>
      <c r="B13" s="31" t="s">
        <v>49</v>
      </c>
      <c r="C13" s="31">
        <v>0</v>
      </c>
      <c r="D13" s="31"/>
      <c r="E13" s="31"/>
    </row>
    <row r="14" spans="1:5" x14ac:dyDescent="0.25">
      <c r="A14" s="30">
        <v>202214</v>
      </c>
      <c r="B14" s="31" t="s">
        <v>51</v>
      </c>
      <c r="C14" s="31"/>
      <c r="D14" s="31"/>
      <c r="E14" s="31"/>
    </row>
    <row r="15" spans="1:5" x14ac:dyDescent="0.25">
      <c r="A15" s="30">
        <v>202215</v>
      </c>
      <c r="B15" s="31" t="s">
        <v>40</v>
      </c>
      <c r="C15" s="31">
        <v>0</v>
      </c>
      <c r="D15" s="31"/>
      <c r="E15" s="31"/>
    </row>
    <row r="16" spans="1:5" x14ac:dyDescent="0.25">
      <c r="A16" s="30">
        <v>202220</v>
      </c>
      <c r="B16" s="31" t="s">
        <v>143</v>
      </c>
      <c r="C16" s="31"/>
      <c r="D16" s="31"/>
      <c r="E16" s="31"/>
    </row>
    <row r="17" spans="1:5" x14ac:dyDescent="0.25">
      <c r="A17" s="30">
        <v>202221</v>
      </c>
      <c r="B17" s="31" t="s">
        <v>148</v>
      </c>
      <c r="C17" s="31">
        <v>0</v>
      </c>
      <c r="D17" s="31"/>
      <c r="E17" s="31"/>
    </row>
    <row r="18" spans="1:5" x14ac:dyDescent="0.25">
      <c r="A18" s="30">
        <v>202307</v>
      </c>
      <c r="B18" s="31" t="s">
        <v>46</v>
      </c>
      <c r="C18" s="31"/>
      <c r="D18" s="31"/>
      <c r="E18" s="31"/>
    </row>
    <row r="19" spans="1:5" x14ac:dyDescent="0.25">
      <c r="A19" s="30">
        <v>202202</v>
      </c>
      <c r="B19" s="31" t="s">
        <v>66</v>
      </c>
      <c r="C19" s="31"/>
      <c r="D19" s="31"/>
      <c r="E19" s="31"/>
    </row>
    <row r="20" spans="1:5" x14ac:dyDescent="0.25">
      <c r="A20" s="30">
        <v>202205</v>
      </c>
      <c r="B20" s="31" t="s">
        <v>79</v>
      </c>
      <c r="C20" s="31"/>
      <c r="D20" s="31"/>
      <c r="E20" s="31"/>
    </row>
    <row r="21" spans="1:5" x14ac:dyDescent="0.25">
      <c r="A21" s="30">
        <v>202206</v>
      </c>
      <c r="B21" s="31" t="s">
        <v>84</v>
      </c>
      <c r="C21" s="31"/>
      <c r="D21" s="31"/>
      <c r="E21" s="31"/>
    </row>
    <row r="22" spans="1:5" x14ac:dyDescent="0.25">
      <c r="A22" s="30">
        <v>202208</v>
      </c>
      <c r="B22" s="31" t="s">
        <v>39</v>
      </c>
      <c r="C22" s="31"/>
      <c r="D22" s="31"/>
      <c r="E22" s="31"/>
    </row>
    <row r="23" spans="1:5" x14ac:dyDescent="0.25">
      <c r="A23" s="30">
        <v>202212</v>
      </c>
      <c r="B23" s="31" t="s">
        <v>109</v>
      </c>
      <c r="C23" s="31"/>
      <c r="D23" s="31"/>
      <c r="E23" s="31"/>
    </row>
    <row r="24" spans="1:5" x14ac:dyDescent="0.25">
      <c r="A24" s="30">
        <v>202213</v>
      </c>
      <c r="B24" s="31" t="s">
        <v>114</v>
      </c>
      <c r="C24" s="31"/>
      <c r="D24" s="31"/>
      <c r="E24" s="31"/>
    </row>
    <row r="25" spans="1:5" x14ac:dyDescent="0.25">
      <c r="A25" s="30">
        <v>202216</v>
      </c>
      <c r="B25" s="31" t="s">
        <v>127</v>
      </c>
      <c r="C25" s="31"/>
      <c r="D25" s="31"/>
      <c r="E25" s="31"/>
    </row>
    <row r="26" spans="1:5" x14ac:dyDescent="0.25">
      <c r="A26" s="30">
        <v>202217</v>
      </c>
      <c r="B26" s="31" t="s">
        <v>132</v>
      </c>
      <c r="C26" s="31"/>
      <c r="D26" s="31"/>
      <c r="E26" s="31"/>
    </row>
    <row r="27" spans="1:5" x14ac:dyDescent="0.25">
      <c r="A27" s="30">
        <v>202218</v>
      </c>
      <c r="B27" s="31" t="s">
        <v>136</v>
      </c>
      <c r="C27" s="31"/>
      <c r="D27" s="31"/>
      <c r="E27" s="31"/>
    </row>
    <row r="28" spans="1:5" x14ac:dyDescent="0.25">
      <c r="A28" s="30">
        <v>202219</v>
      </c>
      <c r="B28" s="31" t="s">
        <v>41</v>
      </c>
      <c r="C28" s="31"/>
      <c r="D28" s="31"/>
      <c r="E28" s="31"/>
    </row>
    <row r="29" spans="1:5" x14ac:dyDescent="0.25">
      <c r="A29" s="30">
        <v>202301</v>
      </c>
      <c r="B29" s="31" t="s">
        <v>52</v>
      </c>
      <c r="C29" s="31">
        <v>1</v>
      </c>
      <c r="D29" s="31"/>
      <c r="E29" s="31"/>
    </row>
    <row r="30" spans="1:5" x14ac:dyDescent="0.25">
      <c r="A30" s="30">
        <v>202302</v>
      </c>
      <c r="B30" s="31" t="s">
        <v>156</v>
      </c>
      <c r="C30" s="31"/>
      <c r="D30" s="31"/>
      <c r="E30" s="31"/>
    </row>
    <row r="31" spans="1:5" x14ac:dyDescent="0.25">
      <c r="A31" s="30">
        <v>202306</v>
      </c>
      <c r="B31" s="31" t="s">
        <v>50</v>
      </c>
      <c r="C31" s="31"/>
      <c r="D31" s="31"/>
      <c r="E31" s="31"/>
    </row>
    <row r="32" spans="1:5" x14ac:dyDescent="0.25">
      <c r="A32" s="30">
        <v>202308</v>
      </c>
      <c r="B32" s="31" t="s">
        <v>182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12" sqref="B12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11</v>
      </c>
      <c r="B2" s="13">
        <v>15</v>
      </c>
      <c r="C2" s="21">
        <v>45165</v>
      </c>
      <c r="D2" s="21" t="s">
        <v>190</v>
      </c>
      <c r="E2" s="13"/>
      <c r="F2" s="13"/>
      <c r="G2" s="13"/>
    </row>
    <row r="3" spans="1:7" x14ac:dyDescent="0.25">
      <c r="A3" s="13">
        <v>12</v>
      </c>
      <c r="B3" s="13">
        <v>16</v>
      </c>
      <c r="C3" s="21">
        <v>45179</v>
      </c>
      <c r="D3" s="21" t="s">
        <v>190</v>
      </c>
      <c r="E3" s="13"/>
      <c r="F3" s="13"/>
      <c r="G3" s="13"/>
    </row>
    <row r="4" spans="1:7" x14ac:dyDescent="0.25">
      <c r="A4" s="13">
        <v>13</v>
      </c>
      <c r="B4" s="13">
        <v>16</v>
      </c>
      <c r="C4" s="21">
        <v>45192</v>
      </c>
      <c r="D4" s="21" t="s">
        <v>191</v>
      </c>
      <c r="E4" s="13"/>
      <c r="F4" s="13"/>
      <c r="G4" s="13"/>
    </row>
    <row r="5" spans="1:7" x14ac:dyDescent="0.25">
      <c r="A5" s="13">
        <v>14</v>
      </c>
      <c r="B5" s="13">
        <v>16</v>
      </c>
      <c r="C5" s="21">
        <v>45193</v>
      </c>
      <c r="D5" s="21" t="s">
        <v>190</v>
      </c>
      <c r="E5" s="13"/>
      <c r="F5" s="13"/>
      <c r="G5" s="13"/>
    </row>
    <row r="6" spans="1:7" x14ac:dyDescent="0.25">
      <c r="A6" s="13">
        <v>15</v>
      </c>
      <c r="B6" s="13">
        <v>17</v>
      </c>
      <c r="C6" s="21">
        <v>45206</v>
      </c>
      <c r="D6" s="21" t="s">
        <v>191</v>
      </c>
      <c r="E6" s="13"/>
      <c r="F6" s="13"/>
      <c r="G6" s="13"/>
    </row>
    <row r="7" spans="1:7" x14ac:dyDescent="0.25">
      <c r="A7" s="13">
        <v>16</v>
      </c>
      <c r="B7" s="13">
        <v>17</v>
      </c>
      <c r="C7" s="21">
        <v>45207</v>
      </c>
      <c r="D7" s="21" t="s">
        <v>190</v>
      </c>
      <c r="E7" s="13"/>
      <c r="F7" s="13"/>
      <c r="G7" s="13"/>
    </row>
    <row r="8" spans="1:7" x14ac:dyDescent="0.25">
      <c r="A8" s="13">
        <v>17</v>
      </c>
      <c r="B8" s="13">
        <v>17</v>
      </c>
      <c r="C8" s="21">
        <v>45213</v>
      </c>
      <c r="D8" s="21" t="s">
        <v>191</v>
      </c>
      <c r="E8" s="13"/>
      <c r="F8" s="13"/>
      <c r="G8" s="13"/>
    </row>
    <row r="9" spans="1:7" x14ac:dyDescent="0.25">
      <c r="A9" s="13">
        <v>18</v>
      </c>
      <c r="B9" s="13">
        <v>17</v>
      </c>
      <c r="C9" s="21">
        <v>45214</v>
      </c>
      <c r="D9" s="21" t="s">
        <v>190</v>
      </c>
      <c r="E9" s="13"/>
      <c r="F9" s="13"/>
      <c r="G9" s="13"/>
    </row>
    <row r="10" spans="1:7" x14ac:dyDescent="0.25">
      <c r="A10" s="13">
        <v>19</v>
      </c>
      <c r="B10" s="13">
        <v>17</v>
      </c>
      <c r="C10" s="21">
        <v>45220</v>
      </c>
      <c r="D10" s="21" t="s">
        <v>191</v>
      </c>
      <c r="E10" s="13"/>
      <c r="F10" s="13"/>
      <c r="G10" s="13"/>
    </row>
    <row r="11" spans="1:7" x14ac:dyDescent="0.25">
      <c r="A11" s="13">
        <v>20</v>
      </c>
      <c r="B11" s="13">
        <v>17</v>
      </c>
      <c r="C11" s="21">
        <v>45221</v>
      </c>
      <c r="D11" s="21" t="s">
        <v>190</v>
      </c>
      <c r="E11" s="13"/>
      <c r="F11" s="13"/>
      <c r="G11" s="13"/>
    </row>
    <row r="12" spans="1:7" x14ac:dyDescent="0.25">
      <c r="A12" s="13">
        <v>21</v>
      </c>
      <c r="B12" s="13">
        <v>18</v>
      </c>
      <c r="C12" s="21">
        <v>45234</v>
      </c>
      <c r="D12" s="21" t="s">
        <v>191</v>
      </c>
      <c r="E12" s="13"/>
      <c r="F12" s="13"/>
      <c r="G12" s="13"/>
    </row>
    <row r="13" spans="1:7" x14ac:dyDescent="0.25">
      <c r="A13" s="13">
        <v>22</v>
      </c>
      <c r="B13" s="13">
        <v>18</v>
      </c>
      <c r="C13" s="21">
        <v>45235</v>
      </c>
      <c r="D13" s="21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K24" sqref="K24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3" width="4.21875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28</v>
      </c>
      <c r="B1" s="7">
        <v>18</v>
      </c>
      <c r="C1" s="5" t="s">
        <v>53</v>
      </c>
      <c r="D1" s="12" t="str">
        <f>TEXT(_xlfn.XLOOKUP($B$1,tmMeeting[MTG_No],tmMeeting[日付]),"yyyy-mm")</f>
        <v>2023-11</v>
      </c>
    </row>
    <row r="2" spans="1:13" ht="17.850000000000001" customHeight="1" x14ac:dyDescent="0.25">
      <c r="A2" s="4"/>
      <c r="D2" s="3"/>
    </row>
    <row r="3" spans="1:13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3" x14ac:dyDescent="0.25">
      <c r="A4" s="13">
        <v>21</v>
      </c>
      <c r="B4" s="22">
        <v>45234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45234</v>
      </c>
      <c r="L4" s="15">
        <v>45235</v>
      </c>
      <c r="M4" s="15" t="s">
        <v>194</v>
      </c>
    </row>
    <row r="5" spans="1:13" x14ac:dyDescent="0.25">
      <c r="A5" s="13">
        <v>21</v>
      </c>
      <c r="B5" s="22">
        <v>45234</v>
      </c>
      <c r="C5" s="13">
        <v>202203</v>
      </c>
      <c r="D5" s="13" t="s">
        <v>47</v>
      </c>
      <c r="E5" s="13">
        <v>1</v>
      </c>
      <c r="J5" s="16" t="s">
        <v>43</v>
      </c>
      <c r="K5">
        <v>1</v>
      </c>
      <c r="L5">
        <v>1</v>
      </c>
      <c r="M5">
        <v>2</v>
      </c>
    </row>
    <row r="6" spans="1:13" x14ac:dyDescent="0.25">
      <c r="A6" s="13">
        <v>21</v>
      </c>
      <c r="B6" s="22">
        <v>45234</v>
      </c>
      <c r="C6" s="13">
        <v>202204</v>
      </c>
      <c r="D6" s="13" t="s">
        <v>43</v>
      </c>
      <c r="E6" s="13">
        <v>1</v>
      </c>
      <c r="J6" s="16" t="s">
        <v>38</v>
      </c>
      <c r="K6">
        <v>1</v>
      </c>
      <c r="L6">
        <v>1</v>
      </c>
      <c r="M6">
        <v>2</v>
      </c>
    </row>
    <row r="7" spans="1:13" x14ac:dyDescent="0.25">
      <c r="A7" s="13">
        <v>21</v>
      </c>
      <c r="B7" s="22">
        <v>45234</v>
      </c>
      <c r="C7" s="13">
        <v>202209</v>
      </c>
      <c r="D7" s="13" t="s">
        <v>44</v>
      </c>
      <c r="E7" s="13">
        <v>1</v>
      </c>
      <c r="J7" s="16" t="s">
        <v>49</v>
      </c>
      <c r="K7">
        <v>0</v>
      </c>
      <c r="L7">
        <v>0.5</v>
      </c>
      <c r="M7">
        <v>0.5</v>
      </c>
    </row>
    <row r="8" spans="1:13" x14ac:dyDescent="0.25">
      <c r="A8" s="13">
        <v>21</v>
      </c>
      <c r="B8" s="22">
        <v>45234</v>
      </c>
      <c r="C8" s="13">
        <v>202210</v>
      </c>
      <c r="D8" s="13" t="s">
        <v>48</v>
      </c>
      <c r="E8" s="13">
        <v>0.5</v>
      </c>
      <c r="J8" s="16" t="s">
        <v>161</v>
      </c>
      <c r="K8">
        <v>1</v>
      </c>
      <c r="L8">
        <v>1</v>
      </c>
      <c r="M8">
        <v>2</v>
      </c>
    </row>
    <row r="9" spans="1:13" x14ac:dyDescent="0.25">
      <c r="A9" s="13">
        <v>21</v>
      </c>
      <c r="B9" s="22">
        <v>45234</v>
      </c>
      <c r="C9" s="13">
        <v>202211</v>
      </c>
      <c r="D9" s="13" t="s">
        <v>49</v>
      </c>
      <c r="E9" s="13">
        <v>0</v>
      </c>
      <c r="J9" s="16" t="s">
        <v>48</v>
      </c>
      <c r="K9">
        <v>0.5</v>
      </c>
      <c r="L9">
        <v>0</v>
      </c>
      <c r="M9">
        <v>0.5</v>
      </c>
    </row>
    <row r="10" spans="1:13" x14ac:dyDescent="0.25">
      <c r="A10" s="13">
        <v>21</v>
      </c>
      <c r="B10" s="22">
        <v>45234</v>
      </c>
      <c r="C10" s="13">
        <v>202219</v>
      </c>
      <c r="D10" s="13" t="s">
        <v>41</v>
      </c>
      <c r="E10" s="13">
        <v>1</v>
      </c>
      <c r="J10" s="16" t="s">
        <v>44</v>
      </c>
      <c r="K10">
        <v>1</v>
      </c>
      <c r="L10">
        <v>1</v>
      </c>
      <c r="M10">
        <v>2</v>
      </c>
    </row>
    <row r="11" spans="1:13" x14ac:dyDescent="0.25">
      <c r="A11" s="13">
        <v>21</v>
      </c>
      <c r="B11" s="22">
        <v>45234</v>
      </c>
      <c r="C11" s="13">
        <v>202303</v>
      </c>
      <c r="D11" s="13" t="s">
        <v>161</v>
      </c>
      <c r="E11" s="13">
        <v>1</v>
      </c>
      <c r="J11" s="16" t="s">
        <v>47</v>
      </c>
      <c r="K11">
        <v>1</v>
      </c>
      <c r="L11">
        <v>1</v>
      </c>
      <c r="M11">
        <v>2</v>
      </c>
    </row>
    <row r="12" spans="1:13" x14ac:dyDescent="0.25">
      <c r="A12" s="13">
        <v>22</v>
      </c>
      <c r="B12" s="22">
        <v>45235</v>
      </c>
      <c r="C12" s="13">
        <v>202201</v>
      </c>
      <c r="D12" s="13" t="s">
        <v>38</v>
      </c>
      <c r="E12" s="13">
        <v>1</v>
      </c>
      <c r="J12" s="16" t="s">
        <v>41</v>
      </c>
      <c r="K12">
        <v>1</v>
      </c>
      <c r="L12">
        <v>0</v>
      </c>
      <c r="M12">
        <v>1</v>
      </c>
    </row>
    <row r="13" spans="1:13" x14ac:dyDescent="0.25">
      <c r="A13" s="13">
        <v>22</v>
      </c>
      <c r="B13" s="22">
        <v>45235</v>
      </c>
      <c r="C13" s="13">
        <v>202203</v>
      </c>
      <c r="D13" s="13" t="s">
        <v>47</v>
      </c>
      <c r="E13" s="13">
        <v>1</v>
      </c>
      <c r="J13" s="16" t="s">
        <v>194</v>
      </c>
      <c r="K13">
        <v>6.5</v>
      </c>
      <c r="L13">
        <v>5.5</v>
      </c>
      <c r="M13">
        <v>12</v>
      </c>
    </row>
    <row r="14" spans="1:13" x14ac:dyDescent="0.25">
      <c r="A14" s="13">
        <v>22</v>
      </c>
      <c r="B14" s="22">
        <v>45235</v>
      </c>
      <c r="C14" s="13">
        <v>202204</v>
      </c>
      <c r="D14" s="13" t="s">
        <v>43</v>
      </c>
      <c r="E14" s="13">
        <v>1</v>
      </c>
    </row>
    <row r="15" spans="1:13" x14ac:dyDescent="0.25">
      <c r="A15" s="13">
        <v>22</v>
      </c>
      <c r="B15" s="22">
        <v>45235</v>
      </c>
      <c r="C15" s="13">
        <v>202209</v>
      </c>
      <c r="D15" s="13" t="s">
        <v>44</v>
      </c>
      <c r="E15" s="13">
        <v>1</v>
      </c>
    </row>
    <row r="16" spans="1:13" x14ac:dyDescent="0.25">
      <c r="A16" s="13">
        <v>22</v>
      </c>
      <c r="B16" s="22">
        <v>45235</v>
      </c>
      <c r="C16" s="13">
        <v>202210</v>
      </c>
      <c r="D16" s="13" t="s">
        <v>48</v>
      </c>
      <c r="E16" s="13">
        <v>0</v>
      </c>
    </row>
    <row r="17" spans="1:5" x14ac:dyDescent="0.25">
      <c r="A17" s="13">
        <v>22</v>
      </c>
      <c r="B17" s="22">
        <v>45235</v>
      </c>
      <c r="C17" s="13">
        <v>202211</v>
      </c>
      <c r="D17" s="13" t="s">
        <v>49</v>
      </c>
      <c r="E17" s="13">
        <v>0.5</v>
      </c>
    </row>
    <row r="18" spans="1:5" x14ac:dyDescent="0.25">
      <c r="A18" s="13">
        <v>22</v>
      </c>
      <c r="B18" s="22">
        <v>45235</v>
      </c>
      <c r="C18" s="13">
        <v>202219</v>
      </c>
      <c r="D18" s="13" t="s">
        <v>41</v>
      </c>
      <c r="E18" s="13">
        <v>0</v>
      </c>
    </row>
    <row r="19" spans="1:5" x14ac:dyDescent="0.25">
      <c r="A19" s="13">
        <v>22</v>
      </c>
      <c r="B19" s="22">
        <v>45235</v>
      </c>
      <c r="C19" s="13">
        <v>202303</v>
      </c>
      <c r="D19" s="13" t="s">
        <v>161</v>
      </c>
      <c r="E19" s="13">
        <v>1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16</v>
      </c>
      <c r="B2" s="18">
        <v>45235</v>
      </c>
      <c r="C2" s="19">
        <f>_xlfn.XLOOKUP(DateEntry,tmMtgDateNom[日付],tmMtgDateNom[NomID])</f>
        <v>22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 t="s">
        <v>161</v>
      </c>
      <c r="B5" s="13">
        <v>1</v>
      </c>
    </row>
    <row r="6" spans="1:4" x14ac:dyDescent="0.25">
      <c r="A6" s="17" t="s">
        <v>41</v>
      </c>
      <c r="B6" s="13">
        <v>0</v>
      </c>
    </row>
    <row r="7" spans="1:4" x14ac:dyDescent="0.25">
      <c r="A7" s="17" t="s">
        <v>49</v>
      </c>
      <c r="B7" s="13">
        <v>0.5</v>
      </c>
    </row>
    <row r="8" spans="1:4" x14ac:dyDescent="0.25">
      <c r="A8" s="17" t="s">
        <v>47</v>
      </c>
      <c r="B8" s="13">
        <v>1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50657972-341F-43F5-B95F-F461DEBCD285}">
      <formula1>"R5.11.4,R5.11.5"</formula1>
    </dataValidation>
    <dataValidation type="list" allowBlank="1" showInputMessage="1" showErrorMessage="1" sqref="A5:A8" xr:uid="{545FABCA-86CE-4124-9A73-FB04075CE9A1}">
      <formula1>"岩尾 朝央,伊藤 琢司,中安 言,澤田 大成,大塚 貴行,中林 徹,上田 英貴,篠ヶ瀬 将之,玉井 宏明,田窪 正則,池澤 政俊,山際 淳,尾𥔎 伸弥,鶴崎 博,久保 貴史,平山 達也,森 潔,赤羽 聡,大嶋 亨一,草地 祐樹,佐久間 雄介,高橋 良介,米田 和央,里中 智哉,庄司 淳,中澤 祐介,古田 紗良,佐竹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33</v>
      </c>
      <c r="B2" s="29"/>
      <c r="C2" s="29"/>
      <c r="D2" s="29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2023-10-05T05:43:27Z</dcterms:modified>
</cp:coreProperties>
</file>